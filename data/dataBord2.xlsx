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2CBA686B-2879-402C-9A74-440DF422D31D}" xr6:coauthVersionLast="37" xr6:coauthVersionMax="37" xr10:uidLastSave="{00000000-0000-0000-0000-000000000000}"/>
  <bookViews>
    <workbookView xWindow="0" yWindow="0" windowWidth="22260" windowHeight="12648" xr2:uid="{00000000-000D-0000-FFFF-FFFF00000000}"/>
  </bookViews>
  <sheets>
    <sheet name="Лист3" sheetId="3" r:id="rId1"/>
    <sheet name="Лист2" sheetId="2" r:id="rId2"/>
    <sheet name="Лист1" sheetId="1" r:id="rId3"/>
  </sheets>
  <definedNames>
    <definedName name="ExternalData_1" localSheetId="1" hidden="1">Лист2!$A$1:$F$2</definedName>
    <definedName name="ExternalData_2" localSheetId="0" hidden="1">Лист3!$A$1:$F$4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3" l="1"/>
  <c r="G4" i="3"/>
  <c r="G2" i="3"/>
  <c r="G2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C0F9EE-7E1D-4DE1-991F-0E5E6EDAC750}" keepAlive="1" name="Запрос — dataBord3" description="Соединение с запросом &quot;dataBord3&quot; в книге." type="5" refreshedVersion="6" background="1" saveData="1">
    <dbPr connection="Provider=Microsoft.Mashup.OleDb.1;Data Source=$Workbook$;Location=dataBord3;Extended Properties=&quot;&quot;" command="SELECT * FROM [dataBord3]"/>
  </connection>
</connections>
</file>

<file path=xl/sharedStrings.xml><?xml version="1.0" encoding="utf-8"?>
<sst xmlns="http://schemas.openxmlformats.org/spreadsheetml/2006/main" count="22" uniqueCount="12">
  <si>
    <t>ID</t>
  </si>
  <si>
    <t xml:space="preserve"> Date</t>
  </si>
  <si>
    <t xml:space="preserve"> Name of the company</t>
  </si>
  <si>
    <t xml:space="preserve"> Name of the product</t>
  </si>
  <si>
    <t xml:space="preserve"> Produced, mln r</t>
  </si>
  <si>
    <t xml:space="preserve"> Including export, mln r</t>
  </si>
  <si>
    <t xml:space="preserve"> Essence</t>
  </si>
  <si>
    <t xml:space="preserve"> Essence Mascara Lash Princess</t>
  </si>
  <si>
    <t>Share of exports in income</t>
  </si>
  <si>
    <t xml:space="preserve"> Apple</t>
  </si>
  <si>
    <t xml:space="preserve"> Mushrooms</t>
  </si>
  <si>
    <t xml:space="preserve"> Juice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</si>
</sst>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9" fontId="0" fillId="0" borderId="0" xfId="1" applyFont="1"/>
    <xf numFmtId="0" fontId="2" fillId="0" borderId="0" xfId="0" applyFont="1"/>
  </cellXfs>
  <cellStyles count="2">
    <cellStyle name="Обычный" xfId="0" builtinId="0"/>
    <cellStyle name="Процентный" xfId="1" builtinId="5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0906CF9D-3DD2-4A95-897C-9C227A441A80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ID" tableColumnId="1"/>
      <queryTableField id="2" name=" Date" tableColumnId="2"/>
      <queryTableField id="3" name=" Name of the company" tableColumnId="3"/>
      <queryTableField id="4" name=" Name of the product" tableColumnId="4"/>
      <queryTableField id="5" name=" Produced, mln r" tableColumnId="5"/>
      <queryTableField id="6" name=" Including export, mln r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507DD0-744D-4D14-8746-1E85171CA5E7}" name="dataBord3" displayName="dataBord3" ref="A1:G4" tableType="queryTable" totalsRowShown="0">
  <autoFilter ref="A1:G4" xr:uid="{5F2AA93D-AF7A-4D9A-B974-7500A4F3FE74}"/>
  <tableColumns count="7">
    <tableColumn id="1" xr3:uid="{A849F6A7-1828-42D0-949F-AA8738B57BCE}" uniqueName="1" name="ID" queryTableFieldId="1"/>
    <tableColumn id="2" xr3:uid="{F2B9C281-6A0D-4181-92B8-35C2541F3BBA}" uniqueName="2" name=" Date" queryTableFieldId="2" dataDxfId="3"/>
    <tableColumn id="3" xr3:uid="{8BB86226-2484-4803-9C3E-4EBA4675B96A}" uniqueName="3" name=" Name of the company" queryTableFieldId="3" dataDxfId="2"/>
    <tableColumn id="4" xr3:uid="{5F826D96-5176-4C27-82BA-BD444F01C2AF}" uniqueName="4" name=" Name of the product" queryTableFieldId="4" dataDxfId="1"/>
    <tableColumn id="5" xr3:uid="{74657FDF-D4D9-41F5-82BC-59931C336FBC}" uniqueName="5" name=" Produced, mln r" queryTableFieldId="5"/>
    <tableColumn id="6" xr3:uid="{8B130097-790A-42E5-8EC4-08D82E41501F}" uniqueName="6" name=" Including export, mln r" queryTableFieldId="6"/>
    <tableColumn id="7" xr3:uid="{26E7739A-8EF1-4559-AB61-48C8CC2ECF65}" uniqueName="7" name="Share of exports in income" queryTableFieldId="7" dataDxfId="0">
      <calculatedColumnFormula>dataBord3[[#This Row],[ Including export, mln r]]/dataBord3[[#This Row],[ Produced, mln r]]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44B190-3771-4052-AEFE-EDF37C8E1C1F}" name="dataBord2" displayName="dataBord2" ref="A1:G2" totalsRowShown="0">
  <autoFilter ref="A1:G2" xr:uid="{795D3ADB-0C9D-4084-91D0-2F4BC83DA079}"/>
  <tableColumns count="7">
    <tableColumn id="1" xr3:uid="{B7B926F9-3568-4428-A724-73DA29E5D5FA}" name="ID"/>
    <tableColumn id="2" xr3:uid="{826EAF21-6EB4-4861-AEEA-1026580B6551}" name=" Date" dataDxfId="6"/>
    <tableColumn id="3" xr3:uid="{4034FE8A-508A-4B05-B693-96A89C21B26F}" name=" Name of the company" dataDxfId="5"/>
    <tableColumn id="4" xr3:uid="{F69AE570-C94D-46AE-AFDB-5A8F6B25C46D}" name=" Name of the product" dataDxfId="4"/>
    <tableColumn id="5" xr3:uid="{964B704D-456D-49D8-A07C-713C24D69B06}" name=" Produced, mln r"/>
    <tableColumn id="6" xr3:uid="{F3406F36-DDFC-4F5C-B805-8AB00C6A6708}" name=" Including export, mln r"/>
    <tableColumn id="7" xr3:uid="{F3F87152-1144-4669-9FC6-C28C4FAF9984}" name="Share of exports in income" dataCellStyle="Процентный">
      <calculatedColumnFormula>dataBord2[ Including export, mln r]/dataBord2[ Produced, mln r]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F486F-0066-49AA-948C-5377BA5A727E}">
  <dimension ref="A1:G4"/>
  <sheetViews>
    <sheetView tabSelected="1" workbookViewId="0">
      <selection activeCell="E4" sqref="E4"/>
    </sheetView>
  </sheetViews>
  <sheetFormatPr defaultRowHeight="14.4" x14ac:dyDescent="0.3"/>
  <cols>
    <col min="1" max="1" width="5" bestFit="1" customWidth="1"/>
    <col min="2" max="2" width="10.109375" bestFit="1" customWidth="1"/>
    <col min="3" max="3" width="22.6640625" bestFit="1" customWidth="1"/>
    <col min="4" max="4" width="21.44140625" bestFit="1" customWidth="1"/>
    <col min="5" max="5" width="17.21875" bestFit="1" customWidth="1"/>
    <col min="6" max="6" width="22.88671875" bestFit="1" customWidth="1"/>
    <col min="7" max="7" width="25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8</v>
      </c>
    </row>
    <row r="2" spans="1:7" x14ac:dyDescent="0.3">
      <c r="A2">
        <v>1</v>
      </c>
      <c r="B2" s="1">
        <v>43101</v>
      </c>
      <c r="C2" s="2" t="s">
        <v>6</v>
      </c>
      <c r="D2" s="2" t="s">
        <v>9</v>
      </c>
      <c r="E2">
        <v>92</v>
      </c>
      <c r="F2">
        <v>90</v>
      </c>
      <c r="G2" s="3">
        <f>dataBord3[[#This Row],[ Including export, mln r]]/dataBord3[[#This Row],[ Produced, mln r]]</f>
        <v>0.97826086956521741</v>
      </c>
    </row>
    <row r="3" spans="1:7" x14ac:dyDescent="0.3">
      <c r="A3">
        <v>2</v>
      </c>
      <c r="B3" s="1">
        <v>43102</v>
      </c>
      <c r="C3" s="2" t="s">
        <v>6</v>
      </c>
      <c r="D3" s="2" t="s">
        <v>10</v>
      </c>
      <c r="E3">
        <v>67</v>
      </c>
      <c r="F3">
        <v>58</v>
      </c>
      <c r="G3" s="3">
        <f>dataBord3[[#This Row],[ Including export, mln r]]/dataBord3[[#This Row],[ Produced, mln r]]</f>
        <v>0.86567164179104472</v>
      </c>
    </row>
    <row r="4" spans="1:7" x14ac:dyDescent="0.3">
      <c r="A4">
        <v>3</v>
      </c>
      <c r="B4" s="1">
        <v>43103</v>
      </c>
      <c r="C4" s="2" t="s">
        <v>6</v>
      </c>
      <c r="D4" s="2" t="s">
        <v>11</v>
      </c>
      <c r="E4">
        <v>50</v>
      </c>
      <c r="F4">
        <v>21</v>
      </c>
      <c r="G4" s="3">
        <f>dataBord3[[#This Row],[ Including export, mln r]]/dataBord3[[#This Row],[ Produced, mln r]]</f>
        <v>0.42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87D6F-FD08-4DE0-8387-D277C06A7C0D}">
  <dimension ref="A1:G3"/>
  <sheetViews>
    <sheetView workbookViewId="0">
      <selection activeCell="I5" sqref="I5"/>
    </sheetView>
  </sheetViews>
  <sheetFormatPr defaultRowHeight="14.4" x14ac:dyDescent="0.3"/>
  <cols>
    <col min="1" max="1" width="5" bestFit="1" customWidth="1"/>
    <col min="2" max="2" width="10.109375" bestFit="1" customWidth="1"/>
    <col min="3" max="3" width="22.6640625" bestFit="1" customWidth="1"/>
    <col min="4" max="4" width="26.88671875" bestFit="1" customWidth="1"/>
    <col min="5" max="5" width="17.21875" bestFit="1" customWidth="1"/>
    <col min="6" max="6" width="22.88671875" bestFit="1" customWidth="1"/>
    <col min="7" max="7" width="25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</row>
    <row r="2" spans="1:7" x14ac:dyDescent="0.3">
      <c r="A2">
        <v>1</v>
      </c>
      <c r="B2" s="1">
        <v>43101</v>
      </c>
      <c r="C2" s="2" t="s">
        <v>6</v>
      </c>
      <c r="D2" s="2" t="s">
        <v>7</v>
      </c>
      <c r="E2">
        <v>99</v>
      </c>
      <c r="F2">
        <v>40</v>
      </c>
      <c r="G2" s="3">
        <f>dataBord2[ Including export, mln r]/dataBord2[ Produced, mln r]</f>
        <v>0.40404040404040403</v>
      </c>
    </row>
    <row r="3" spans="1:7" x14ac:dyDescent="0.3">
      <c r="B3" s="1"/>
      <c r="C3" s="2"/>
      <c r="D3" s="2"/>
      <c r="G3" s="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601168-9F26-48B1-8541-735FF9E907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Лист3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2026-02-28T07:12:20Z</dcterms:modified>
</cp:coreProperties>
</file>