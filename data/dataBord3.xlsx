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7FA72674-2667-4AAB-95A6-5CA8FC84C587}" xr6:coauthVersionLast="37" xr6:coauthVersionMax="37" xr10:uidLastSave="{00000000-0000-0000-0000-000000000000}"/>
  <bookViews>
    <workbookView xWindow="0" yWindow="0" windowWidth="22260" windowHeight="12648" xr2:uid="{00000000-000D-0000-FFFF-FFFF00000000}"/>
  </bookViews>
  <sheets>
    <sheet name="Лист3" sheetId="3" r:id="rId1"/>
    <sheet name="Лист2" sheetId="2" r:id="rId2"/>
    <sheet name="Лист1" sheetId="1" r:id="rId3"/>
  </sheets>
  <definedNames>
    <definedName name="ExternalData_1" localSheetId="0" hidden="1">Лист3!$A$1:$F$66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3" l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1F745C-11F4-463F-8453-35B80AAF66FE}" keepAlive="1" name="Запрос — dataPos3" description="Соединение с запросом &quot;dataPos3&quot; в книге." type="5" refreshedVersion="6" background="1" saveData="1">
    <dbPr connection="Provider=Microsoft.Mashup.OleDb.1;Data Source=$Workbook$;Location=dataPos3;Extended Properties=&quot;&quot;" command="SELECT * FROM [dataPos3]"/>
  </connection>
</connections>
</file>

<file path=xl/sharedStrings.xml><?xml version="1.0" encoding="utf-8"?>
<sst xmlns="http://schemas.openxmlformats.org/spreadsheetml/2006/main" count="137" uniqueCount="101">
  <si>
    <t>ID</t>
  </si>
  <si>
    <t xml:space="preserve"> Date</t>
  </si>
  <si>
    <t xml:space="preserve"> Name of the company</t>
  </si>
  <si>
    <t xml:space="preserve"> Name of the product</t>
  </si>
  <si>
    <t xml:space="preserve"> Produced, mln r</t>
  </si>
  <si>
    <t xml:space="preserve"> Including export, mln r</t>
  </si>
  <si>
    <t xml:space="preserve"> Essence</t>
  </si>
  <si>
    <t xml:space="preserve"> Essence Mascara Lash Princess</t>
  </si>
  <si>
    <t xml:space="preserve"> Glamour Beauty</t>
  </si>
  <si>
    <t xml:space="preserve"> Eyeshadow Palette with Mirror</t>
  </si>
  <si>
    <t xml:space="preserve"> Velvet Touch</t>
  </si>
  <si>
    <t xml:space="preserve"> Powder Canister</t>
  </si>
  <si>
    <t xml:space="preserve"> Chic Cosmetics</t>
  </si>
  <si>
    <t xml:space="preserve"> Red Lipstick</t>
  </si>
  <si>
    <t xml:space="preserve"> Nail Couture</t>
  </si>
  <si>
    <t xml:space="preserve"> Red Nail Polish</t>
  </si>
  <si>
    <t xml:space="preserve"> Calvin Klein</t>
  </si>
  <si>
    <t xml:space="preserve"> Calvin Klein CK One</t>
  </si>
  <si>
    <t xml:space="preserve"> Chanel</t>
  </si>
  <si>
    <t xml:space="preserve"> Chanel Coco Noir Eau De</t>
  </si>
  <si>
    <t xml:space="preserve"> Dior</t>
  </si>
  <si>
    <t xml:space="preserve"> Dior J'adore</t>
  </si>
  <si>
    <t xml:space="preserve"> Dolce &amp; Gabbana</t>
  </si>
  <si>
    <t xml:space="preserve"> Dolce Shine Eau de</t>
  </si>
  <si>
    <t xml:space="preserve"> Gucci</t>
  </si>
  <si>
    <t xml:space="preserve"> Gucci Bloom Eau de</t>
  </si>
  <si>
    <t xml:space="preserve"> Annibale Colombo</t>
  </si>
  <si>
    <t xml:space="preserve"> Annibale Colombo Bed</t>
  </si>
  <si>
    <t xml:space="preserve"> Annibale Colombo Sofa</t>
  </si>
  <si>
    <t xml:space="preserve"> Furniture Co.</t>
  </si>
  <si>
    <t xml:space="preserve"> Bedside Table African Cherry</t>
  </si>
  <si>
    <t xml:space="preserve"> Knoll</t>
  </si>
  <si>
    <t xml:space="preserve"> Knoll Saarinen Executive Conference Chair</t>
  </si>
  <si>
    <t xml:space="preserve"> Bath Trends</t>
  </si>
  <si>
    <t xml:space="preserve"> Wooden Bathroom Sink With Mirror</t>
  </si>
  <si>
    <t>Share of exports in income</t>
  </si>
  <si>
    <t xml:space="preserve"> Apple </t>
  </si>
  <si>
    <t>Apple</t>
  </si>
  <si>
    <t xml:space="preserve"> Beef Steak </t>
  </si>
  <si>
    <t>Beef Steak</t>
  </si>
  <si>
    <t xml:space="preserve"> Cat Food </t>
  </si>
  <si>
    <t>Cat Food</t>
  </si>
  <si>
    <t xml:space="preserve"> Chicken Meat </t>
  </si>
  <si>
    <t>Chicken Meat</t>
  </si>
  <si>
    <t xml:space="preserve"> Cooking Oil </t>
  </si>
  <si>
    <t>Cooking Oil</t>
  </si>
  <si>
    <t xml:space="preserve"> Cucumber </t>
  </si>
  <si>
    <t>Cucumber</t>
  </si>
  <si>
    <t xml:space="preserve"> Dog Food </t>
  </si>
  <si>
    <t>Dog Food</t>
  </si>
  <si>
    <t xml:space="preserve"> Eggs </t>
  </si>
  <si>
    <t>Eggs</t>
  </si>
  <si>
    <t xml:space="preserve"> Fish Steak </t>
  </si>
  <si>
    <t>Fish Steak</t>
  </si>
  <si>
    <t xml:space="preserve"> Green Bell Pepper </t>
  </si>
  <si>
    <t>Green Bell Pepper</t>
  </si>
  <si>
    <t xml:space="preserve"> Green Chili Pepper </t>
  </si>
  <si>
    <t>Green Chili Pepper</t>
  </si>
  <si>
    <t xml:space="preserve"> Honey Jar </t>
  </si>
  <si>
    <t>Honey Jar</t>
  </si>
  <si>
    <t xml:space="preserve"> Ice Cream </t>
  </si>
  <si>
    <t>Ice Cream</t>
  </si>
  <si>
    <t xml:space="preserve"> Juice </t>
  </si>
  <si>
    <t>Juice</t>
  </si>
  <si>
    <t xml:space="preserve"> Kiwi </t>
  </si>
  <si>
    <t>Kiwi</t>
  </si>
  <si>
    <t xml:space="preserve"> Apex Beauty</t>
  </si>
  <si>
    <t>Essence Mascara Lash Princess</t>
  </si>
  <si>
    <t xml:space="preserve"> Luna Cosmetics</t>
  </si>
  <si>
    <t>Eyeshadow Palette with Mirror</t>
  </si>
  <si>
    <t xml:space="preserve"> VelvetWorks</t>
  </si>
  <si>
    <t>Powder Canister</t>
  </si>
  <si>
    <t xml:space="preserve"> ChicLine</t>
  </si>
  <si>
    <t>Red Lipstick</t>
  </si>
  <si>
    <t xml:space="preserve"> NailArtisans</t>
  </si>
  <si>
    <t>Red Nail Polish</t>
  </si>
  <si>
    <t xml:space="preserve"> CK Industries</t>
  </si>
  <si>
    <t>Calvin Klein CK One</t>
  </si>
  <si>
    <t xml:space="preserve"> Noir Parfums</t>
  </si>
  <si>
    <t>Chanel Coco Noir Eau De</t>
  </si>
  <si>
    <t xml:space="preserve"> GoldenRose</t>
  </si>
  <si>
    <t>Dior J'adore</t>
  </si>
  <si>
    <t xml:space="preserve"> D&amp;G Fragrances</t>
  </si>
  <si>
    <t>Dolce Shine Eau de</t>
  </si>
  <si>
    <t xml:space="preserve"> Bloom Atelier</t>
  </si>
  <si>
    <t>Gucci Bloom Eau de</t>
  </si>
  <si>
    <t xml:space="preserve"> Annibale Home</t>
  </si>
  <si>
    <t>Annibale Colombo Bed</t>
  </si>
  <si>
    <t xml:space="preserve"> Annibale Living</t>
  </si>
  <si>
    <t>Annibale Colombo Sofa</t>
  </si>
  <si>
    <t xml:space="preserve"> AfricanFurniture Co</t>
  </si>
  <si>
    <t>Bedside Table African Cherry</t>
  </si>
  <si>
    <t xml:space="preserve"> Knoll Designs</t>
  </si>
  <si>
    <t>Knoll Saarinen Executive Conference Chair</t>
  </si>
  <si>
    <t xml:space="preserve"> BathTrends Ltd</t>
  </si>
  <si>
    <t>Wooden Bathroom Sink With Mirror</t>
  </si>
  <si>
    <t xml:space="preserve"> Orchard Tech</t>
  </si>
  <si>
    <t xml:space="preserve"> PrimeMeats</t>
  </si>
  <si>
    <t xml:space="preserve"> Purrfect PetFoods</t>
  </si>
  <si>
    <t xml:space="preserve"> Poultry Farms</t>
  </si>
  <si>
    <t xml:space="preserve"> PureOils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</si>
</sst>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Fill="1" applyBorder="1"/>
    <xf numFmtId="14" fontId="0" fillId="0" borderId="0" xfId="0" applyNumberFormat="1" applyFill="1" applyBorder="1"/>
    <xf numFmtId="0" fontId="0" fillId="0" borderId="0" xfId="0" applyNumberFormat="1" applyFill="1" applyBorder="1"/>
    <xf numFmtId="9" fontId="0" fillId="0" borderId="0" xfId="1" applyFont="1" applyFill="1" applyBorder="1"/>
    <xf numFmtId="0" fontId="0" fillId="0" borderId="0" xfId="0" applyFill="1"/>
    <xf numFmtId="0" fontId="0" fillId="0" borderId="1" xfId="0" applyFill="1" applyBorder="1"/>
    <xf numFmtId="14" fontId="0" fillId="0" borderId="1" xfId="0" applyNumberFormat="1" applyFill="1" applyBorder="1"/>
    <xf numFmtId="0" fontId="0" fillId="0" borderId="1" xfId="0" applyNumberFormat="1" applyFill="1" applyBorder="1"/>
    <xf numFmtId="9" fontId="0" fillId="0" borderId="1" xfId="1" applyFont="1" applyFill="1" applyBorder="1"/>
  </cellXfs>
  <cellStyles count="2">
    <cellStyle name="Обычный" xfId="0" builtinId="0"/>
    <cellStyle name="Процентный" xfId="1" builtinId="5"/>
  </cellStyles>
  <dxfs count="8"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7D05F71-3344-4626-B003-04246083CD7E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ID" tableColumnId="1"/>
      <queryTableField id="2" name=" Date" tableColumnId="2"/>
      <queryTableField id="3" name=" Name of the company" tableColumnId="3"/>
      <queryTableField id="4" name=" Name of the product" tableColumnId="4"/>
      <queryTableField id="5" name=" Produced, mln r" tableColumnId="5"/>
      <queryTableField id="6" name=" Including export, mln r" tableColumnId="6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9A8370-89BB-4064-A2EC-2AE564793FDA}" name="dataPos3" displayName="dataPos3" ref="A1:G66" tableType="queryTable" totalsRowShown="0" dataDxfId="7">
  <autoFilter ref="A1:G66" xr:uid="{0544FE62-3164-419C-B318-58C586B44180}"/>
  <tableColumns count="7">
    <tableColumn id="1" xr3:uid="{62CD260C-0DB9-42C8-AD62-08BAAB34B226}" uniqueName="1" name="ID" queryTableFieldId="1" dataDxfId="6"/>
    <tableColumn id="2" xr3:uid="{1FB38F7D-FC98-433D-B6B3-F7345890C977}" uniqueName="2" name=" Date" queryTableFieldId="2" dataDxfId="5"/>
    <tableColumn id="3" xr3:uid="{B002BEE7-D4B4-49BC-90C2-523B1CC46D32}" uniqueName="3" name=" Name of the company" queryTableFieldId="3" dataDxfId="4"/>
    <tableColumn id="4" xr3:uid="{27BC2A19-15C8-49B5-98D7-E1BF13905648}" uniqueName="4" name=" Name of the product" queryTableFieldId="4" dataDxfId="3"/>
    <tableColumn id="5" xr3:uid="{AEC28FE9-6A88-48E0-9D07-3736BFFFD936}" uniqueName="5" name=" Produced, mln r" queryTableFieldId="5" dataDxfId="2"/>
    <tableColumn id="6" xr3:uid="{45BDDB3A-02D4-4B77-9457-956C80CDEE5A}" uniqueName="6" name=" Including export, mln r" queryTableFieldId="6" dataDxfId="1"/>
    <tableColumn id="7" xr3:uid="{FAABF6A6-1372-4F4A-A6B2-096009C0C5C5}" uniqueName="7" name="Share of exports in income" queryTableFieldId="7" dataDxfId="0" dataCellStyle="Процентный">
      <calculatedColumnFormula>dataPos3[[#This Row],[ Including export, mln r]]/dataPos3[[#This Row],[ Produced, mln r]]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EB150-CB9F-4257-9C18-D60046650B12}">
  <dimension ref="A1:G66"/>
  <sheetViews>
    <sheetView tabSelected="1" workbookViewId="0">
      <selection activeCell="I62" sqref="I62"/>
    </sheetView>
  </sheetViews>
  <sheetFormatPr defaultRowHeight="14.4" x14ac:dyDescent="0.3"/>
  <cols>
    <col min="1" max="1" width="5" bestFit="1" customWidth="1"/>
    <col min="2" max="2" width="10.109375" bestFit="1" customWidth="1"/>
    <col min="3" max="3" width="22.6640625" bestFit="1" customWidth="1"/>
    <col min="4" max="4" width="36.33203125" bestFit="1" customWidth="1"/>
    <col min="5" max="5" width="17.21875" bestFit="1" customWidth="1"/>
    <col min="6" max="6" width="22.88671875" bestFit="1" customWidth="1"/>
    <col min="7" max="7" width="25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35</v>
      </c>
    </row>
    <row r="2" spans="1:7" x14ac:dyDescent="0.3">
      <c r="A2" s="6">
        <v>1</v>
      </c>
      <c r="B2" s="7">
        <v>43101</v>
      </c>
      <c r="C2" s="8" t="s">
        <v>6</v>
      </c>
      <c r="D2" s="8" t="s">
        <v>7</v>
      </c>
      <c r="E2" s="6">
        <v>99</v>
      </c>
      <c r="F2" s="6">
        <v>14</v>
      </c>
      <c r="G2" s="9">
        <f>dataPos3[[#This Row],[ Including export, mln r]]/dataPos3[[#This Row],[ Produced, mln r]]</f>
        <v>0.14141414141414141</v>
      </c>
    </row>
    <row r="3" spans="1:7" x14ac:dyDescent="0.3">
      <c r="A3" s="6">
        <v>2</v>
      </c>
      <c r="B3" s="7">
        <v>43504</v>
      </c>
      <c r="C3" s="8" t="s">
        <v>8</v>
      </c>
      <c r="D3" s="8" t="s">
        <v>9</v>
      </c>
      <c r="E3" s="6">
        <v>34</v>
      </c>
      <c r="F3" s="6">
        <v>28</v>
      </c>
      <c r="G3" s="9">
        <f>dataPos3[[#This Row],[ Including export, mln r]]/dataPos3[[#This Row],[ Produced, mln r]]</f>
        <v>0.82352941176470584</v>
      </c>
    </row>
    <row r="4" spans="1:7" x14ac:dyDescent="0.3">
      <c r="A4" s="6">
        <v>3</v>
      </c>
      <c r="B4" s="7">
        <v>43905</v>
      </c>
      <c r="C4" s="8" t="s">
        <v>10</v>
      </c>
      <c r="D4" s="8" t="s">
        <v>11</v>
      </c>
      <c r="E4" s="6">
        <v>89</v>
      </c>
      <c r="F4" s="6">
        <v>71</v>
      </c>
      <c r="G4" s="9">
        <f>dataPos3[[#This Row],[ Including export, mln r]]/dataPos3[[#This Row],[ Produced, mln r]]</f>
        <v>0.797752808988764</v>
      </c>
    </row>
    <row r="5" spans="1:7" x14ac:dyDescent="0.3">
      <c r="A5" s="6">
        <v>4</v>
      </c>
      <c r="B5" s="7">
        <v>44308</v>
      </c>
      <c r="C5" s="8" t="s">
        <v>12</v>
      </c>
      <c r="D5" s="8" t="s">
        <v>13</v>
      </c>
      <c r="E5" s="6">
        <v>91</v>
      </c>
      <c r="F5" s="6">
        <v>44</v>
      </c>
      <c r="G5" s="9">
        <f>dataPos3[[#This Row],[ Including export, mln r]]/dataPos3[[#This Row],[ Produced, mln r]]</f>
        <v>0.48351648351648352</v>
      </c>
    </row>
    <row r="6" spans="1:7" x14ac:dyDescent="0.3">
      <c r="A6" s="6">
        <v>5</v>
      </c>
      <c r="B6" s="7">
        <v>44682</v>
      </c>
      <c r="C6" s="8" t="s">
        <v>14</v>
      </c>
      <c r="D6" s="8" t="s">
        <v>15</v>
      </c>
      <c r="E6" s="6">
        <v>79</v>
      </c>
      <c r="F6" s="6">
        <v>9</v>
      </c>
      <c r="G6" s="9">
        <f>dataPos3[[#This Row],[ Including export, mln r]]/dataPos3[[#This Row],[ Produced, mln r]]</f>
        <v>0.11392405063291139</v>
      </c>
    </row>
    <row r="7" spans="1:7" x14ac:dyDescent="0.3">
      <c r="A7" s="6">
        <v>6</v>
      </c>
      <c r="B7" s="7">
        <v>45085</v>
      </c>
      <c r="C7" s="8" t="s">
        <v>16</v>
      </c>
      <c r="D7" s="8" t="s">
        <v>17</v>
      </c>
      <c r="E7" s="6">
        <v>29</v>
      </c>
      <c r="F7" s="6">
        <v>12</v>
      </c>
      <c r="G7" s="9">
        <f>dataPos3[[#This Row],[ Including export, mln r]]/dataPos3[[#This Row],[ Produced, mln r]]</f>
        <v>0.41379310344827586</v>
      </c>
    </row>
    <row r="8" spans="1:7" x14ac:dyDescent="0.3">
      <c r="A8" s="6">
        <v>7</v>
      </c>
      <c r="B8" s="7">
        <v>45488</v>
      </c>
      <c r="C8" s="8" t="s">
        <v>18</v>
      </c>
      <c r="D8" s="8" t="s">
        <v>19</v>
      </c>
      <c r="E8" s="6">
        <v>58</v>
      </c>
      <c r="F8" s="6">
        <v>35</v>
      </c>
      <c r="G8" s="9">
        <f>dataPos3[[#This Row],[ Including export, mln r]]/dataPos3[[#This Row],[ Produced, mln r]]</f>
        <v>0.60344827586206895</v>
      </c>
    </row>
    <row r="9" spans="1:7" x14ac:dyDescent="0.3">
      <c r="A9" s="6">
        <v>8</v>
      </c>
      <c r="B9" s="7">
        <v>45891</v>
      </c>
      <c r="C9" s="8" t="s">
        <v>20</v>
      </c>
      <c r="D9" s="8" t="s">
        <v>21</v>
      </c>
      <c r="E9" s="6">
        <v>98</v>
      </c>
      <c r="F9" s="6">
        <v>82</v>
      </c>
      <c r="G9" s="9">
        <f>dataPos3[[#This Row],[ Including export, mln r]]/dataPos3[[#This Row],[ Produced, mln r]]</f>
        <v>0.83673469387755106</v>
      </c>
    </row>
    <row r="10" spans="1:7" x14ac:dyDescent="0.3">
      <c r="A10" s="6">
        <v>9</v>
      </c>
      <c r="B10" s="7">
        <v>43344</v>
      </c>
      <c r="C10" s="8" t="s">
        <v>22</v>
      </c>
      <c r="D10" s="8" t="s">
        <v>23</v>
      </c>
      <c r="E10" s="6">
        <v>4</v>
      </c>
      <c r="F10" s="6">
        <v>1</v>
      </c>
      <c r="G10" s="9">
        <f>dataPos3[[#This Row],[ Including export, mln r]]/dataPos3[[#This Row],[ Produced, mln r]]</f>
        <v>0.25</v>
      </c>
    </row>
    <row r="11" spans="1:7" x14ac:dyDescent="0.3">
      <c r="A11" s="6">
        <v>10</v>
      </c>
      <c r="B11" s="7">
        <v>43746</v>
      </c>
      <c r="C11" s="8" t="s">
        <v>24</v>
      </c>
      <c r="D11" s="8" t="s">
        <v>25</v>
      </c>
      <c r="E11" s="6">
        <v>91</v>
      </c>
      <c r="F11" s="6">
        <v>19</v>
      </c>
      <c r="G11" s="9">
        <f>dataPos3[[#This Row],[ Including export, mln r]]/dataPos3[[#This Row],[ Produced, mln r]]</f>
        <v>0.2087912087912088</v>
      </c>
    </row>
    <row r="12" spans="1:7" x14ac:dyDescent="0.3">
      <c r="A12" s="6">
        <v>11</v>
      </c>
      <c r="B12" s="7">
        <v>44150</v>
      </c>
      <c r="C12" s="8" t="s">
        <v>26</v>
      </c>
      <c r="D12" s="8" t="s">
        <v>27</v>
      </c>
      <c r="E12" s="6">
        <v>88</v>
      </c>
      <c r="F12" s="6">
        <v>56</v>
      </c>
      <c r="G12" s="9">
        <f>dataPos3[[#This Row],[ Including export, mln r]]/dataPos3[[#This Row],[ Produced, mln r]]</f>
        <v>0.63636363636363635</v>
      </c>
    </row>
    <row r="13" spans="1:7" x14ac:dyDescent="0.3">
      <c r="A13" s="6">
        <v>12</v>
      </c>
      <c r="B13" s="7">
        <v>44552</v>
      </c>
      <c r="C13" s="8" t="s">
        <v>26</v>
      </c>
      <c r="D13" s="8" t="s">
        <v>28</v>
      </c>
      <c r="E13" s="6">
        <v>60</v>
      </c>
      <c r="F13" s="6">
        <v>27</v>
      </c>
      <c r="G13" s="9">
        <f>dataPos3[[#This Row],[ Including export, mln r]]/dataPos3[[#This Row],[ Produced, mln r]]</f>
        <v>0.45</v>
      </c>
    </row>
    <row r="14" spans="1:7" x14ac:dyDescent="0.3">
      <c r="A14" s="6">
        <v>13</v>
      </c>
      <c r="B14" s="7">
        <v>44562</v>
      </c>
      <c r="C14" s="8" t="s">
        <v>29</v>
      </c>
      <c r="D14" s="8" t="s">
        <v>30</v>
      </c>
      <c r="E14" s="6">
        <v>64</v>
      </c>
      <c r="F14" s="6">
        <v>60</v>
      </c>
      <c r="G14" s="9">
        <f>dataPos3[[#This Row],[ Including export, mln r]]/dataPos3[[#This Row],[ Produced, mln r]]</f>
        <v>0.9375</v>
      </c>
    </row>
    <row r="15" spans="1:7" x14ac:dyDescent="0.3">
      <c r="A15" s="6">
        <v>14</v>
      </c>
      <c r="B15" s="7">
        <v>44965</v>
      </c>
      <c r="C15" s="8" t="s">
        <v>31</v>
      </c>
      <c r="D15" s="8" t="s">
        <v>32</v>
      </c>
      <c r="E15" s="6">
        <v>26</v>
      </c>
      <c r="F15" s="6">
        <v>5</v>
      </c>
      <c r="G15" s="9">
        <f>dataPos3[[#This Row],[ Including export, mln r]]/dataPos3[[#This Row],[ Produced, mln r]]</f>
        <v>0.19230769230769232</v>
      </c>
    </row>
    <row r="16" spans="1:7" x14ac:dyDescent="0.3">
      <c r="A16" s="6">
        <v>15</v>
      </c>
      <c r="B16" s="7">
        <v>45366</v>
      </c>
      <c r="C16" s="8" t="s">
        <v>33</v>
      </c>
      <c r="D16" s="8" t="s">
        <v>34</v>
      </c>
      <c r="E16" s="6">
        <v>7</v>
      </c>
      <c r="F16" s="6">
        <v>3</v>
      </c>
      <c r="G16" s="9">
        <f>dataPos3[[#This Row],[ Including export, mln r]]/dataPos3[[#This Row],[ Produced, mln r]]</f>
        <v>0.42857142857142855</v>
      </c>
    </row>
    <row r="17" spans="1:7" x14ac:dyDescent="0.3">
      <c r="A17" s="6">
        <v>16</v>
      </c>
      <c r="B17" s="7">
        <v>43101</v>
      </c>
      <c r="C17" s="8" t="s">
        <v>6</v>
      </c>
      <c r="D17" s="8" t="s">
        <v>7</v>
      </c>
      <c r="E17" s="6">
        <v>99</v>
      </c>
      <c r="F17" s="6">
        <v>91</v>
      </c>
      <c r="G17" s="9">
        <f>dataPos3[[#This Row],[ Including export, mln r]]/dataPos3[[#This Row],[ Produced, mln r]]</f>
        <v>0.91919191919191923</v>
      </c>
    </row>
    <row r="18" spans="1:7" x14ac:dyDescent="0.3">
      <c r="A18" s="6">
        <v>17</v>
      </c>
      <c r="B18" s="7">
        <v>43504</v>
      </c>
      <c r="C18" s="8" t="s">
        <v>8</v>
      </c>
      <c r="D18" s="8" t="s">
        <v>9</v>
      </c>
      <c r="E18" s="6">
        <v>34</v>
      </c>
      <c r="F18" s="6">
        <v>16</v>
      </c>
      <c r="G18" s="9">
        <f>dataPos3[[#This Row],[ Including export, mln r]]/dataPos3[[#This Row],[ Produced, mln r]]</f>
        <v>0.47058823529411764</v>
      </c>
    </row>
    <row r="19" spans="1:7" x14ac:dyDescent="0.3">
      <c r="A19" s="6">
        <v>18</v>
      </c>
      <c r="B19" s="7">
        <v>43905</v>
      </c>
      <c r="C19" s="8" t="s">
        <v>10</v>
      </c>
      <c r="D19" s="8" t="s">
        <v>11</v>
      </c>
      <c r="E19" s="6">
        <v>89</v>
      </c>
      <c r="F19" s="6">
        <v>33</v>
      </c>
      <c r="G19" s="9">
        <f>dataPos3[[#This Row],[ Including export, mln r]]/dataPos3[[#This Row],[ Produced, mln r]]</f>
        <v>0.3707865168539326</v>
      </c>
    </row>
    <row r="20" spans="1:7" x14ac:dyDescent="0.3">
      <c r="A20" s="6">
        <v>19</v>
      </c>
      <c r="B20" s="7">
        <v>44308</v>
      </c>
      <c r="C20" s="8" t="s">
        <v>12</v>
      </c>
      <c r="D20" s="8" t="s">
        <v>13</v>
      </c>
      <c r="E20" s="6">
        <v>91</v>
      </c>
      <c r="F20" s="6">
        <v>85</v>
      </c>
      <c r="G20" s="9">
        <f>dataPos3[[#This Row],[ Including export, mln r]]/dataPos3[[#This Row],[ Produced, mln r]]</f>
        <v>0.93406593406593408</v>
      </c>
    </row>
    <row r="21" spans="1:7" x14ac:dyDescent="0.3">
      <c r="A21" s="6">
        <v>20</v>
      </c>
      <c r="B21" s="7">
        <v>44682</v>
      </c>
      <c r="C21" s="8" t="s">
        <v>14</v>
      </c>
      <c r="D21" s="8" t="s">
        <v>15</v>
      </c>
      <c r="E21" s="6">
        <v>79</v>
      </c>
      <c r="F21" s="6">
        <v>64</v>
      </c>
      <c r="G21" s="9">
        <f>dataPos3[[#This Row],[ Including export, mln r]]/dataPos3[[#This Row],[ Produced, mln r]]</f>
        <v>0.810126582278481</v>
      </c>
    </row>
    <row r="22" spans="1:7" x14ac:dyDescent="0.3">
      <c r="A22" s="6">
        <v>21</v>
      </c>
      <c r="B22" s="7">
        <v>45085</v>
      </c>
      <c r="C22" s="8" t="s">
        <v>16</v>
      </c>
      <c r="D22" s="8" t="s">
        <v>17</v>
      </c>
      <c r="E22" s="6">
        <v>29</v>
      </c>
      <c r="F22" s="6">
        <v>2</v>
      </c>
      <c r="G22" s="9">
        <f>dataPos3[[#This Row],[ Including export, mln r]]/dataPos3[[#This Row],[ Produced, mln r]]</f>
        <v>6.8965517241379309E-2</v>
      </c>
    </row>
    <row r="23" spans="1:7" x14ac:dyDescent="0.3">
      <c r="A23" s="6">
        <v>22</v>
      </c>
      <c r="B23" s="7">
        <v>45488</v>
      </c>
      <c r="C23" s="8" t="s">
        <v>18</v>
      </c>
      <c r="D23" s="8" t="s">
        <v>19</v>
      </c>
      <c r="E23" s="6">
        <v>58</v>
      </c>
      <c r="F23" s="6">
        <v>50</v>
      </c>
      <c r="G23" s="9">
        <f>dataPos3[[#This Row],[ Including export, mln r]]/dataPos3[[#This Row],[ Produced, mln r]]</f>
        <v>0.86206896551724133</v>
      </c>
    </row>
    <row r="24" spans="1:7" x14ac:dyDescent="0.3">
      <c r="A24" s="6">
        <v>23</v>
      </c>
      <c r="B24" s="7">
        <v>45891</v>
      </c>
      <c r="C24" s="8" t="s">
        <v>20</v>
      </c>
      <c r="D24" s="8" t="s">
        <v>21</v>
      </c>
      <c r="E24" s="6">
        <v>98</v>
      </c>
      <c r="F24" s="6">
        <v>7</v>
      </c>
      <c r="G24" s="9">
        <f>dataPos3[[#This Row],[ Including export, mln r]]/dataPos3[[#This Row],[ Produced, mln r]]</f>
        <v>7.1428571428571425E-2</v>
      </c>
    </row>
    <row r="25" spans="1:7" x14ac:dyDescent="0.3">
      <c r="A25" s="6">
        <v>24</v>
      </c>
      <c r="B25" s="7">
        <v>43344</v>
      </c>
      <c r="C25" s="8" t="s">
        <v>22</v>
      </c>
      <c r="D25" s="8" t="s">
        <v>23</v>
      </c>
      <c r="E25" s="6">
        <v>4</v>
      </c>
      <c r="F25" s="6">
        <v>4</v>
      </c>
      <c r="G25" s="9">
        <f>dataPos3[[#This Row],[ Including export, mln r]]/dataPos3[[#This Row],[ Produced, mln r]]</f>
        <v>1</v>
      </c>
    </row>
    <row r="26" spans="1:7" x14ac:dyDescent="0.3">
      <c r="A26" s="6">
        <v>25</v>
      </c>
      <c r="B26" s="7">
        <v>43746</v>
      </c>
      <c r="C26" s="8" t="s">
        <v>24</v>
      </c>
      <c r="D26" s="8" t="s">
        <v>25</v>
      </c>
      <c r="E26" s="6">
        <v>91</v>
      </c>
      <c r="F26" s="6">
        <v>41</v>
      </c>
      <c r="G26" s="9">
        <f>dataPos3[[#This Row],[ Including export, mln r]]/dataPos3[[#This Row],[ Produced, mln r]]</f>
        <v>0.45054945054945056</v>
      </c>
    </row>
    <row r="27" spans="1:7" x14ac:dyDescent="0.3">
      <c r="A27" s="6">
        <v>26</v>
      </c>
      <c r="B27" s="7">
        <v>44150</v>
      </c>
      <c r="C27" s="8" t="s">
        <v>26</v>
      </c>
      <c r="D27" s="8" t="s">
        <v>27</v>
      </c>
      <c r="E27" s="6">
        <v>88</v>
      </c>
      <c r="F27" s="6">
        <v>12</v>
      </c>
      <c r="G27" s="9">
        <f>dataPos3[[#This Row],[ Including export, mln r]]/dataPos3[[#This Row],[ Produced, mln r]]</f>
        <v>0.13636363636363635</v>
      </c>
    </row>
    <row r="28" spans="1:7" x14ac:dyDescent="0.3">
      <c r="A28" s="6">
        <v>27</v>
      </c>
      <c r="B28" s="7">
        <v>44552</v>
      </c>
      <c r="C28" s="8" t="s">
        <v>26</v>
      </c>
      <c r="D28" s="8" t="s">
        <v>28</v>
      </c>
      <c r="E28" s="6">
        <v>60</v>
      </c>
      <c r="F28" s="6">
        <v>38</v>
      </c>
      <c r="G28" s="9">
        <f>dataPos3[[#This Row],[ Including export, mln r]]/dataPos3[[#This Row],[ Produced, mln r]]</f>
        <v>0.6333333333333333</v>
      </c>
    </row>
    <row r="29" spans="1:7" x14ac:dyDescent="0.3">
      <c r="A29" s="6">
        <v>28</v>
      </c>
      <c r="B29" s="7">
        <v>44562</v>
      </c>
      <c r="C29" s="8" t="s">
        <v>29</v>
      </c>
      <c r="D29" s="8" t="s">
        <v>30</v>
      </c>
      <c r="E29" s="6">
        <v>64</v>
      </c>
      <c r="F29" s="6">
        <v>21</v>
      </c>
      <c r="G29" s="9">
        <f>dataPos3[[#This Row],[ Including export, mln r]]/dataPos3[[#This Row],[ Produced, mln r]]</f>
        <v>0.328125</v>
      </c>
    </row>
    <row r="30" spans="1:7" x14ac:dyDescent="0.3">
      <c r="A30" s="6">
        <v>29</v>
      </c>
      <c r="B30" s="7">
        <v>44965</v>
      </c>
      <c r="C30" s="8" t="s">
        <v>31</v>
      </c>
      <c r="D30" s="8" t="s">
        <v>32</v>
      </c>
      <c r="E30" s="6">
        <v>26</v>
      </c>
      <c r="F30" s="6">
        <v>24</v>
      </c>
      <c r="G30" s="9">
        <f>dataPos3[[#This Row],[ Including export, mln r]]/dataPos3[[#This Row],[ Produced, mln r]]</f>
        <v>0.92307692307692313</v>
      </c>
    </row>
    <row r="31" spans="1:7" x14ac:dyDescent="0.3">
      <c r="A31" s="6">
        <v>30</v>
      </c>
      <c r="B31" s="7">
        <v>45366</v>
      </c>
      <c r="C31" s="8" t="s">
        <v>33</v>
      </c>
      <c r="D31" s="8" t="s">
        <v>34</v>
      </c>
      <c r="E31" s="6">
        <v>7</v>
      </c>
      <c r="F31" s="6">
        <v>0</v>
      </c>
      <c r="G31" s="9">
        <f>dataPos3[[#This Row],[ Including export, mln r]]/dataPos3[[#This Row],[ Produced, mln r]]</f>
        <v>0</v>
      </c>
    </row>
    <row r="32" spans="1:7" x14ac:dyDescent="0.3">
      <c r="A32" s="6">
        <v>31</v>
      </c>
      <c r="B32" s="7">
        <v>45769</v>
      </c>
      <c r="C32" s="8" t="s">
        <v>36</v>
      </c>
      <c r="D32" s="8" t="s">
        <v>37</v>
      </c>
      <c r="E32" s="6">
        <v>8</v>
      </c>
      <c r="F32" s="6">
        <v>6</v>
      </c>
      <c r="G32" s="9">
        <f>dataPos3[[#This Row],[ Including export, mln r]]/dataPos3[[#This Row],[ Produced, mln r]]</f>
        <v>0.75</v>
      </c>
    </row>
    <row r="33" spans="1:7" x14ac:dyDescent="0.3">
      <c r="A33" s="6">
        <v>32</v>
      </c>
      <c r="B33" s="7">
        <v>43221</v>
      </c>
      <c r="C33" s="8" t="s">
        <v>38</v>
      </c>
      <c r="D33" s="8" t="s">
        <v>39</v>
      </c>
      <c r="E33" s="6">
        <v>86</v>
      </c>
      <c r="F33" s="6">
        <v>39</v>
      </c>
      <c r="G33" s="9">
        <f>dataPos3[[#This Row],[ Including export, mln r]]/dataPos3[[#This Row],[ Produced, mln r]]</f>
        <v>0.45348837209302323</v>
      </c>
    </row>
    <row r="34" spans="1:7" x14ac:dyDescent="0.3">
      <c r="A34" s="6">
        <v>33</v>
      </c>
      <c r="B34" s="7">
        <v>43624</v>
      </c>
      <c r="C34" s="8" t="s">
        <v>40</v>
      </c>
      <c r="D34" s="8" t="s">
        <v>41</v>
      </c>
      <c r="E34" s="6">
        <v>46</v>
      </c>
      <c r="F34" s="6">
        <v>40</v>
      </c>
      <c r="G34" s="9">
        <f>dataPos3[[#This Row],[ Including export, mln r]]/dataPos3[[#This Row],[ Produced, mln r]]</f>
        <v>0.86956521739130432</v>
      </c>
    </row>
    <row r="35" spans="1:7" x14ac:dyDescent="0.3">
      <c r="A35" s="6">
        <v>34</v>
      </c>
      <c r="B35" s="7">
        <v>44027</v>
      </c>
      <c r="C35" s="8" t="s">
        <v>42</v>
      </c>
      <c r="D35" s="8" t="s">
        <v>43</v>
      </c>
      <c r="E35" s="6">
        <v>97</v>
      </c>
      <c r="F35" s="6">
        <v>18</v>
      </c>
      <c r="G35" s="9">
        <f>dataPos3[[#This Row],[ Including export, mln r]]/dataPos3[[#This Row],[ Produced, mln r]]</f>
        <v>0.18556701030927836</v>
      </c>
    </row>
    <row r="36" spans="1:7" x14ac:dyDescent="0.3">
      <c r="A36" s="6">
        <v>35</v>
      </c>
      <c r="B36" s="7">
        <v>44430</v>
      </c>
      <c r="C36" s="8" t="s">
        <v>44</v>
      </c>
      <c r="D36" s="8" t="s">
        <v>45</v>
      </c>
      <c r="E36" s="6">
        <v>10</v>
      </c>
      <c r="F36" s="6">
        <v>1</v>
      </c>
      <c r="G36" s="9">
        <f>dataPos3[[#This Row],[ Including export, mln r]]/dataPos3[[#This Row],[ Produced, mln r]]</f>
        <v>0.1</v>
      </c>
    </row>
    <row r="37" spans="1:7" x14ac:dyDescent="0.3">
      <c r="A37" s="6">
        <v>36</v>
      </c>
      <c r="B37" s="7">
        <v>44805</v>
      </c>
      <c r="C37" s="8" t="s">
        <v>46</v>
      </c>
      <c r="D37" s="8" t="s">
        <v>47</v>
      </c>
      <c r="E37" s="6">
        <v>84</v>
      </c>
      <c r="F37" s="6">
        <v>77</v>
      </c>
      <c r="G37" s="9">
        <f>dataPos3[[#This Row],[ Including export, mln r]]/dataPos3[[#This Row],[ Produced, mln r]]</f>
        <v>0.91666666666666663</v>
      </c>
    </row>
    <row r="38" spans="1:7" x14ac:dyDescent="0.3">
      <c r="A38" s="6">
        <v>37</v>
      </c>
      <c r="B38" s="7">
        <v>45207</v>
      </c>
      <c r="C38" s="8" t="s">
        <v>48</v>
      </c>
      <c r="D38" s="8" t="s">
        <v>49</v>
      </c>
      <c r="E38" s="6">
        <v>71</v>
      </c>
      <c r="F38" s="6">
        <v>53</v>
      </c>
      <c r="G38" s="9">
        <f>dataPos3[[#This Row],[ Including export, mln r]]/dataPos3[[#This Row],[ Produced, mln r]]</f>
        <v>0.74647887323943662</v>
      </c>
    </row>
    <row r="39" spans="1:7" x14ac:dyDescent="0.3">
      <c r="A39" s="6">
        <v>38</v>
      </c>
      <c r="B39" s="7">
        <v>45611</v>
      </c>
      <c r="C39" s="8" t="s">
        <v>50</v>
      </c>
      <c r="D39" s="8" t="s">
        <v>51</v>
      </c>
      <c r="E39" s="6">
        <v>9</v>
      </c>
      <c r="F39" s="6">
        <v>4</v>
      </c>
      <c r="G39" s="9">
        <f>dataPos3[[#This Row],[ Including export, mln r]]/dataPos3[[#This Row],[ Produced, mln r]]</f>
        <v>0.44444444444444442</v>
      </c>
    </row>
    <row r="40" spans="1:7" x14ac:dyDescent="0.3">
      <c r="A40" s="6">
        <v>39</v>
      </c>
      <c r="B40" s="7">
        <v>46013</v>
      </c>
      <c r="C40" s="8" t="s">
        <v>52</v>
      </c>
      <c r="D40" s="8" t="s">
        <v>53</v>
      </c>
      <c r="E40" s="6">
        <v>74</v>
      </c>
      <c r="F40" s="6">
        <v>29</v>
      </c>
      <c r="G40" s="9">
        <f>dataPos3[[#This Row],[ Including export, mln r]]/dataPos3[[#This Row],[ Produced, mln r]]</f>
        <v>0.39189189189189189</v>
      </c>
    </row>
    <row r="41" spans="1:7" x14ac:dyDescent="0.3">
      <c r="A41" s="6">
        <v>40</v>
      </c>
      <c r="B41" s="7">
        <v>43101</v>
      </c>
      <c r="C41" s="8" t="s">
        <v>54</v>
      </c>
      <c r="D41" s="8" t="s">
        <v>55</v>
      </c>
      <c r="E41" s="6">
        <v>33</v>
      </c>
      <c r="F41" s="6">
        <v>13</v>
      </c>
      <c r="G41" s="9">
        <f>dataPos3[[#This Row],[ Including export, mln r]]/dataPos3[[#This Row],[ Produced, mln r]]</f>
        <v>0.39393939393939392</v>
      </c>
    </row>
    <row r="42" spans="1:7" x14ac:dyDescent="0.3">
      <c r="A42" s="6">
        <v>41</v>
      </c>
      <c r="B42" s="7">
        <v>43504</v>
      </c>
      <c r="C42" s="8" t="s">
        <v>56</v>
      </c>
      <c r="D42" s="8" t="s">
        <v>57</v>
      </c>
      <c r="E42" s="6">
        <v>3</v>
      </c>
      <c r="F42" s="6">
        <v>2</v>
      </c>
      <c r="G42" s="9">
        <f>dataPos3[[#This Row],[ Including export, mln r]]/dataPos3[[#This Row],[ Produced, mln r]]</f>
        <v>0.66666666666666663</v>
      </c>
    </row>
    <row r="43" spans="1:7" x14ac:dyDescent="0.3">
      <c r="A43" s="6">
        <v>42</v>
      </c>
      <c r="B43" s="7">
        <v>43905</v>
      </c>
      <c r="C43" s="8" t="s">
        <v>58</v>
      </c>
      <c r="D43" s="8" t="s">
        <v>59</v>
      </c>
      <c r="E43" s="6">
        <v>34</v>
      </c>
      <c r="F43" s="6">
        <v>30</v>
      </c>
      <c r="G43" s="9">
        <f>dataPos3[[#This Row],[ Including export, mln r]]/dataPos3[[#This Row],[ Produced, mln r]]</f>
        <v>0.88235294117647056</v>
      </c>
    </row>
    <row r="44" spans="1:7" x14ac:dyDescent="0.3">
      <c r="A44" s="6">
        <v>43</v>
      </c>
      <c r="B44" s="7">
        <v>44308</v>
      </c>
      <c r="C44" s="8" t="s">
        <v>60</v>
      </c>
      <c r="D44" s="8" t="s">
        <v>61</v>
      </c>
      <c r="E44" s="6">
        <v>27</v>
      </c>
      <c r="F44" s="6">
        <v>15</v>
      </c>
      <c r="G44" s="9">
        <f>dataPos3[[#This Row],[ Including export, mln r]]/dataPos3[[#This Row],[ Produced, mln r]]</f>
        <v>0.55555555555555558</v>
      </c>
    </row>
    <row r="45" spans="1:7" x14ac:dyDescent="0.3">
      <c r="A45" s="6">
        <v>44</v>
      </c>
      <c r="B45" s="7">
        <v>44682</v>
      </c>
      <c r="C45" s="8" t="s">
        <v>62</v>
      </c>
      <c r="D45" s="8" t="s">
        <v>63</v>
      </c>
      <c r="E45" s="6">
        <v>50</v>
      </c>
      <c r="F45" s="6">
        <v>5</v>
      </c>
      <c r="G45" s="9">
        <f>dataPos3[[#This Row],[ Including export, mln r]]/dataPos3[[#This Row],[ Produced, mln r]]</f>
        <v>0.1</v>
      </c>
    </row>
    <row r="46" spans="1:7" x14ac:dyDescent="0.3">
      <c r="A46" s="6">
        <v>45</v>
      </c>
      <c r="B46" s="7">
        <v>45085</v>
      </c>
      <c r="C46" s="8" t="s">
        <v>64</v>
      </c>
      <c r="D46" s="8" t="s">
        <v>65</v>
      </c>
      <c r="E46" s="6">
        <v>99</v>
      </c>
      <c r="F46" s="6">
        <v>88</v>
      </c>
      <c r="G46" s="9">
        <f>dataPos3[[#This Row],[ Including export, mln r]]/dataPos3[[#This Row],[ Produced, mln r]]</f>
        <v>0.88888888888888884</v>
      </c>
    </row>
    <row r="47" spans="1:7" x14ac:dyDescent="0.3">
      <c r="A47" s="6">
        <v>46</v>
      </c>
      <c r="B47" s="7">
        <v>45488</v>
      </c>
      <c r="C47" s="8" t="s">
        <v>66</v>
      </c>
      <c r="D47" s="8" t="s">
        <v>67</v>
      </c>
      <c r="E47" s="6">
        <v>120</v>
      </c>
      <c r="F47" s="6">
        <v>102</v>
      </c>
      <c r="G47" s="9">
        <f>dataPos3[[#This Row],[ Including export, mln r]]/dataPos3[[#This Row],[ Produced, mln r]]</f>
        <v>0.85</v>
      </c>
    </row>
    <row r="48" spans="1:7" x14ac:dyDescent="0.3">
      <c r="A48" s="6">
        <v>47</v>
      </c>
      <c r="B48" s="7">
        <v>45891</v>
      </c>
      <c r="C48" s="8" t="s">
        <v>68</v>
      </c>
      <c r="D48" s="8" t="s">
        <v>69</v>
      </c>
      <c r="E48" s="6">
        <v>34</v>
      </c>
      <c r="F48" s="6">
        <v>4</v>
      </c>
      <c r="G48" s="9">
        <f>dataPos3[[#This Row],[ Including export, mln r]]/dataPos3[[#This Row],[ Produced, mln r]]</f>
        <v>0.11764705882352941</v>
      </c>
    </row>
    <row r="49" spans="1:7" x14ac:dyDescent="0.3">
      <c r="A49" s="6">
        <v>48</v>
      </c>
      <c r="B49" s="7">
        <v>43344</v>
      </c>
      <c r="C49" s="8" t="s">
        <v>70</v>
      </c>
      <c r="D49" s="8" t="s">
        <v>71</v>
      </c>
      <c r="E49" s="6">
        <v>95</v>
      </c>
      <c r="F49" s="6">
        <v>47</v>
      </c>
      <c r="G49" s="9">
        <f>dataPos3[[#This Row],[ Including export, mln r]]/dataPos3[[#This Row],[ Produced, mln r]]</f>
        <v>0.49473684210526314</v>
      </c>
    </row>
    <row r="50" spans="1:7" x14ac:dyDescent="0.3">
      <c r="A50" s="6">
        <v>49</v>
      </c>
      <c r="B50" s="7">
        <v>43746</v>
      </c>
      <c r="C50" s="8" t="s">
        <v>72</v>
      </c>
      <c r="D50" s="8" t="s">
        <v>73</v>
      </c>
      <c r="E50" s="6">
        <v>88</v>
      </c>
      <c r="F50" s="6">
        <v>63</v>
      </c>
      <c r="G50" s="9">
        <f>dataPos3[[#This Row],[ Including export, mln r]]/dataPos3[[#This Row],[ Produced, mln r]]</f>
        <v>0.71590909090909094</v>
      </c>
    </row>
    <row r="51" spans="1:7" x14ac:dyDescent="0.3">
      <c r="A51" s="6">
        <v>50</v>
      </c>
      <c r="B51" s="7">
        <v>44150</v>
      </c>
      <c r="C51" s="8" t="s">
        <v>74</v>
      </c>
      <c r="D51" s="8" t="s">
        <v>75</v>
      </c>
      <c r="E51" s="6">
        <v>79</v>
      </c>
      <c r="F51" s="6">
        <v>70</v>
      </c>
      <c r="G51" s="9">
        <f>dataPos3[[#This Row],[ Including export, mln r]]/dataPos3[[#This Row],[ Produced, mln r]]</f>
        <v>0.88607594936708856</v>
      </c>
    </row>
    <row r="52" spans="1:7" x14ac:dyDescent="0.3">
      <c r="A52" s="6">
        <v>51</v>
      </c>
      <c r="B52" s="7">
        <v>44552</v>
      </c>
      <c r="C52" s="8" t="s">
        <v>76</v>
      </c>
      <c r="D52" s="8" t="s">
        <v>77</v>
      </c>
      <c r="E52" s="6">
        <v>29</v>
      </c>
      <c r="F52" s="6">
        <v>26</v>
      </c>
      <c r="G52" s="9">
        <f>dataPos3[[#This Row],[ Including export, mln r]]/dataPos3[[#This Row],[ Produced, mln r]]</f>
        <v>0.89655172413793105</v>
      </c>
    </row>
    <row r="53" spans="1:7" x14ac:dyDescent="0.3">
      <c r="A53" s="6">
        <v>52</v>
      </c>
      <c r="B53" s="7">
        <v>44562</v>
      </c>
      <c r="C53" s="8" t="s">
        <v>78</v>
      </c>
      <c r="D53" s="8" t="s">
        <v>79</v>
      </c>
      <c r="E53" s="6">
        <v>60</v>
      </c>
      <c r="F53" s="6">
        <v>59</v>
      </c>
      <c r="G53" s="9">
        <f>dataPos3[[#This Row],[ Including export, mln r]]/dataPos3[[#This Row],[ Produced, mln r]]</f>
        <v>0.98333333333333328</v>
      </c>
    </row>
    <row r="54" spans="1:7" x14ac:dyDescent="0.3">
      <c r="A54" s="6">
        <v>53</v>
      </c>
      <c r="B54" s="7">
        <v>44965</v>
      </c>
      <c r="C54" s="8" t="s">
        <v>80</v>
      </c>
      <c r="D54" s="8" t="s">
        <v>81</v>
      </c>
      <c r="E54" s="6">
        <v>100</v>
      </c>
      <c r="F54" s="6">
        <v>41</v>
      </c>
      <c r="G54" s="9">
        <f>dataPos3[[#This Row],[ Including export, mln r]]/dataPos3[[#This Row],[ Produced, mln r]]</f>
        <v>0.41</v>
      </c>
    </row>
    <row r="55" spans="1:7" x14ac:dyDescent="0.3">
      <c r="A55" s="6">
        <v>54</v>
      </c>
      <c r="B55" s="7">
        <v>45366</v>
      </c>
      <c r="C55" s="8" t="s">
        <v>82</v>
      </c>
      <c r="D55" s="8" t="s">
        <v>83</v>
      </c>
      <c r="E55" s="6">
        <v>12</v>
      </c>
      <c r="F55" s="6">
        <v>8</v>
      </c>
      <c r="G55" s="9">
        <f>dataPos3[[#This Row],[ Including export, mln r]]/dataPos3[[#This Row],[ Produced, mln r]]</f>
        <v>0.66666666666666663</v>
      </c>
    </row>
    <row r="56" spans="1:7" x14ac:dyDescent="0.3">
      <c r="A56" s="6">
        <v>55</v>
      </c>
      <c r="B56" s="7">
        <v>45769</v>
      </c>
      <c r="C56" s="8" t="s">
        <v>84</v>
      </c>
      <c r="D56" s="8" t="s">
        <v>85</v>
      </c>
      <c r="E56" s="6">
        <v>91</v>
      </c>
      <c r="F56" s="6">
        <v>32</v>
      </c>
      <c r="G56" s="9">
        <f>dataPos3[[#This Row],[ Including export, mln r]]/dataPos3[[#This Row],[ Produced, mln r]]</f>
        <v>0.35164835164835168</v>
      </c>
    </row>
    <row r="57" spans="1:7" x14ac:dyDescent="0.3">
      <c r="A57" s="6">
        <v>56</v>
      </c>
      <c r="B57" s="7">
        <v>43221</v>
      </c>
      <c r="C57" s="8" t="s">
        <v>86</v>
      </c>
      <c r="D57" s="8" t="s">
        <v>87</v>
      </c>
      <c r="E57" s="6">
        <v>88</v>
      </c>
      <c r="F57" s="6">
        <v>24</v>
      </c>
      <c r="G57" s="9">
        <f>dataPos3[[#This Row],[ Including export, mln r]]/dataPos3[[#This Row],[ Produced, mln r]]</f>
        <v>0.27272727272727271</v>
      </c>
    </row>
    <row r="58" spans="1:7" x14ac:dyDescent="0.3">
      <c r="A58" s="6">
        <v>57</v>
      </c>
      <c r="B58" s="7">
        <v>43624</v>
      </c>
      <c r="C58" s="8" t="s">
        <v>88</v>
      </c>
      <c r="D58" s="8" t="s">
        <v>89</v>
      </c>
      <c r="E58" s="6">
        <v>60</v>
      </c>
      <c r="F58" s="6">
        <v>11</v>
      </c>
      <c r="G58" s="9">
        <f>dataPos3[[#This Row],[ Including export, mln r]]/dataPos3[[#This Row],[ Produced, mln r]]</f>
        <v>0.18333333333333332</v>
      </c>
    </row>
    <row r="59" spans="1:7" x14ac:dyDescent="0.3">
      <c r="A59" s="6">
        <v>58</v>
      </c>
      <c r="B59" s="7">
        <v>44027</v>
      </c>
      <c r="C59" s="8" t="s">
        <v>90</v>
      </c>
      <c r="D59" s="8" t="s">
        <v>91</v>
      </c>
      <c r="E59" s="6">
        <v>64</v>
      </c>
      <c r="F59" s="6">
        <v>46</v>
      </c>
      <c r="G59" s="9">
        <f>dataPos3[[#This Row],[ Including export, mln r]]/dataPos3[[#This Row],[ Produced, mln r]]</f>
        <v>0.71875</v>
      </c>
    </row>
    <row r="60" spans="1:7" x14ac:dyDescent="0.3">
      <c r="A60" s="6">
        <v>59</v>
      </c>
      <c r="B60" s="7">
        <v>44430</v>
      </c>
      <c r="C60" s="8" t="s">
        <v>92</v>
      </c>
      <c r="D60" s="8" t="s">
        <v>93</v>
      </c>
      <c r="E60" s="6">
        <v>26</v>
      </c>
      <c r="F60" s="6">
        <v>19</v>
      </c>
      <c r="G60" s="9">
        <f>dataPos3[[#This Row],[ Including export, mln r]]/dataPos3[[#This Row],[ Produced, mln r]]</f>
        <v>0.73076923076923073</v>
      </c>
    </row>
    <row r="61" spans="1:7" x14ac:dyDescent="0.3">
      <c r="A61" s="6">
        <v>60</v>
      </c>
      <c r="B61" s="7">
        <v>44805</v>
      </c>
      <c r="C61" s="8" t="s">
        <v>94</v>
      </c>
      <c r="D61" s="8" t="s">
        <v>95</v>
      </c>
      <c r="E61" s="6">
        <v>7</v>
      </c>
      <c r="F61" s="6">
        <v>5</v>
      </c>
      <c r="G61" s="9">
        <f>dataPos3[[#This Row],[ Including export, mln r]]/dataPos3[[#This Row],[ Produced, mln r]]</f>
        <v>0.7142857142857143</v>
      </c>
    </row>
    <row r="62" spans="1:7" x14ac:dyDescent="0.3">
      <c r="A62" s="6">
        <v>61</v>
      </c>
      <c r="B62" s="7">
        <v>45207</v>
      </c>
      <c r="C62" s="8" t="s">
        <v>96</v>
      </c>
      <c r="D62" s="8" t="s">
        <v>37</v>
      </c>
      <c r="E62" s="6">
        <v>8</v>
      </c>
      <c r="F62" s="6">
        <v>2</v>
      </c>
      <c r="G62" s="9">
        <f>dataPos3[[#This Row],[ Including export, mln r]]/dataPos3[[#This Row],[ Produced, mln r]]</f>
        <v>0.25</v>
      </c>
    </row>
    <row r="63" spans="1:7" x14ac:dyDescent="0.3">
      <c r="A63" s="6">
        <v>62</v>
      </c>
      <c r="B63" s="7">
        <v>45611</v>
      </c>
      <c r="C63" s="8" t="s">
        <v>97</v>
      </c>
      <c r="D63" s="8" t="s">
        <v>39</v>
      </c>
      <c r="E63" s="6">
        <v>86</v>
      </c>
      <c r="F63" s="6">
        <v>80</v>
      </c>
      <c r="G63" s="9">
        <f>dataPos3[[#This Row],[ Including export, mln r]]/dataPos3[[#This Row],[ Produced, mln r]]</f>
        <v>0.93023255813953487</v>
      </c>
    </row>
    <row r="64" spans="1:7" x14ac:dyDescent="0.3">
      <c r="A64" s="6">
        <v>63</v>
      </c>
      <c r="B64" s="7">
        <v>46013</v>
      </c>
      <c r="C64" s="8" t="s">
        <v>98</v>
      </c>
      <c r="D64" s="8" t="s">
        <v>41</v>
      </c>
      <c r="E64" s="6">
        <v>46</v>
      </c>
      <c r="F64" s="6">
        <v>23</v>
      </c>
      <c r="G64" s="9">
        <f>dataPos3[[#This Row],[ Including export, mln r]]/dataPos3[[#This Row],[ Produced, mln r]]</f>
        <v>0.5</v>
      </c>
    </row>
    <row r="65" spans="1:7" x14ac:dyDescent="0.3">
      <c r="A65" s="6">
        <v>64</v>
      </c>
      <c r="B65" s="7">
        <v>43101</v>
      </c>
      <c r="C65" s="8" t="s">
        <v>99</v>
      </c>
      <c r="D65" s="8" t="s">
        <v>43</v>
      </c>
      <c r="E65" s="6">
        <v>97</v>
      </c>
      <c r="F65" s="6">
        <v>54</v>
      </c>
      <c r="G65" s="9">
        <f>dataPos3[[#This Row],[ Including export, mln r]]/dataPos3[[#This Row],[ Produced, mln r]]</f>
        <v>0.55670103092783507</v>
      </c>
    </row>
    <row r="66" spans="1:7" x14ac:dyDescent="0.3">
      <c r="A66" s="6">
        <v>65</v>
      </c>
      <c r="B66" s="7">
        <v>43504</v>
      </c>
      <c r="C66" s="8" t="s">
        <v>100</v>
      </c>
      <c r="D66" s="8" t="s">
        <v>45</v>
      </c>
      <c r="E66" s="6">
        <v>10</v>
      </c>
      <c r="F66" s="6">
        <v>7</v>
      </c>
      <c r="G66" s="9">
        <f>dataPos3[[#This Row],[ Including export, mln r]]/dataPos3[[#This Row],[ Produced, mln r]]</f>
        <v>0.7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7B70F-08ED-465D-A5C8-42B3E0645D6E}">
  <dimension ref="A2:G17"/>
  <sheetViews>
    <sheetView workbookViewId="0"/>
  </sheetViews>
  <sheetFormatPr defaultRowHeight="14.4" x14ac:dyDescent="0.3"/>
  <cols>
    <col min="1" max="1" width="5" bestFit="1" customWidth="1"/>
    <col min="2" max="2" width="10.109375" bestFit="1" customWidth="1"/>
    <col min="3" max="3" width="22.6640625" bestFit="1" customWidth="1"/>
    <col min="4" max="4" width="36.33203125" bestFit="1" customWidth="1"/>
    <col min="5" max="5" width="17.21875" bestFit="1" customWidth="1"/>
    <col min="6" max="6" width="22.88671875" bestFit="1" customWidth="1"/>
    <col min="7" max="7" width="25.88671875" bestFit="1" customWidth="1"/>
  </cols>
  <sheetData>
    <row r="2" spans="1:7" x14ac:dyDescent="0.3">
      <c r="A2" s="1"/>
      <c r="B2" s="2"/>
      <c r="C2" s="3"/>
      <c r="D2" s="3"/>
      <c r="E2" s="1"/>
      <c r="F2" s="1"/>
      <c r="G2" s="4"/>
    </row>
    <row r="3" spans="1:7" x14ac:dyDescent="0.3">
      <c r="A3" s="1"/>
      <c r="B3" s="2"/>
      <c r="C3" s="3"/>
      <c r="D3" s="3"/>
      <c r="E3" s="1"/>
      <c r="F3" s="1"/>
      <c r="G3" s="4"/>
    </row>
    <row r="4" spans="1:7" x14ac:dyDescent="0.3">
      <c r="A4" s="1"/>
      <c r="B4" s="2"/>
      <c r="C4" s="3"/>
      <c r="D4" s="3"/>
      <c r="E4" s="1"/>
      <c r="F4" s="1"/>
      <c r="G4" s="4"/>
    </row>
    <row r="5" spans="1:7" x14ac:dyDescent="0.3">
      <c r="A5" s="1"/>
      <c r="B5" s="2"/>
      <c r="C5" s="3"/>
      <c r="D5" s="3"/>
      <c r="E5" s="1"/>
      <c r="F5" s="1"/>
      <c r="G5" s="4"/>
    </row>
    <row r="6" spans="1:7" x14ac:dyDescent="0.3">
      <c r="A6" s="1"/>
      <c r="B6" s="2"/>
      <c r="C6" s="3"/>
      <c r="D6" s="3"/>
      <c r="E6" s="1"/>
      <c r="F6" s="1"/>
      <c r="G6" s="4"/>
    </row>
    <row r="7" spans="1:7" x14ac:dyDescent="0.3">
      <c r="A7" s="1"/>
      <c r="B7" s="2"/>
      <c r="C7" s="3"/>
      <c r="D7" s="3"/>
      <c r="E7" s="1"/>
      <c r="F7" s="1"/>
      <c r="G7" s="4"/>
    </row>
    <row r="8" spans="1:7" x14ac:dyDescent="0.3">
      <c r="A8" s="1"/>
      <c r="B8" s="2"/>
      <c r="C8" s="3"/>
      <c r="D8" s="3"/>
      <c r="E8" s="1"/>
      <c r="F8" s="1"/>
      <c r="G8" s="4"/>
    </row>
    <row r="9" spans="1:7" x14ac:dyDescent="0.3">
      <c r="A9" s="1"/>
      <c r="B9" s="2"/>
      <c r="C9" s="3"/>
      <c r="D9" s="3"/>
      <c r="E9" s="1"/>
      <c r="F9" s="1"/>
      <c r="G9" s="4"/>
    </row>
    <row r="10" spans="1:7" x14ac:dyDescent="0.3">
      <c r="A10" s="1"/>
      <c r="B10" s="2"/>
      <c r="C10" s="3"/>
      <c r="D10" s="3"/>
      <c r="E10" s="1"/>
      <c r="F10" s="1"/>
      <c r="G10" s="4"/>
    </row>
    <row r="11" spans="1:7" x14ac:dyDescent="0.3">
      <c r="A11" s="1"/>
      <c r="B11" s="2"/>
      <c r="C11" s="3"/>
      <c r="D11" s="3"/>
      <c r="E11" s="1"/>
      <c r="F11" s="1"/>
      <c r="G11" s="4"/>
    </row>
    <row r="12" spans="1:7" x14ac:dyDescent="0.3">
      <c r="A12" s="1"/>
      <c r="B12" s="2"/>
      <c r="C12" s="3"/>
      <c r="D12" s="3"/>
      <c r="E12" s="1"/>
      <c r="F12" s="1"/>
      <c r="G12" s="4"/>
    </row>
    <row r="13" spans="1:7" x14ac:dyDescent="0.3">
      <c r="A13" s="1"/>
      <c r="B13" s="2"/>
      <c r="C13" s="3"/>
      <c r="D13" s="3"/>
      <c r="E13" s="1"/>
      <c r="F13" s="1"/>
      <c r="G13" s="4"/>
    </row>
    <row r="14" spans="1:7" x14ac:dyDescent="0.3">
      <c r="A14" s="1"/>
      <c r="B14" s="2"/>
      <c r="C14" s="3"/>
      <c r="D14" s="3"/>
      <c r="E14" s="1"/>
      <c r="F14" s="1"/>
      <c r="G14" s="4"/>
    </row>
    <row r="15" spans="1:7" x14ac:dyDescent="0.3">
      <c r="A15" s="1"/>
      <c r="B15" s="2"/>
      <c r="C15" s="3"/>
      <c r="D15" s="3"/>
      <c r="E15" s="1"/>
      <c r="F15" s="1"/>
      <c r="G15" s="4"/>
    </row>
    <row r="16" spans="1:7" x14ac:dyDescent="0.3">
      <c r="A16" s="1"/>
      <c r="B16" s="2"/>
      <c r="C16" s="3"/>
      <c r="D16" s="3"/>
      <c r="E16" s="1"/>
      <c r="F16" s="1"/>
      <c r="G16" s="4"/>
    </row>
    <row r="17" spans="1:7" x14ac:dyDescent="0.3">
      <c r="A17" s="5"/>
      <c r="B17" s="5"/>
      <c r="C17" s="5"/>
      <c r="D17" s="5"/>
      <c r="E17" s="5"/>
      <c r="F17" s="5"/>
      <c r="G17" s="5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1F7D14-7501-420F-8136-4AAC85395DD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Лист3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2026-02-25T19:42:25Z</dcterms:modified>
</cp:coreProperties>
</file>