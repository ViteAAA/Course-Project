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A80EB2F-DBCA-435E-99C2-9DA340500998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2" sheetId="2" r:id="rId1"/>
    <sheet name="Лист1" sheetId="1" r:id="rId2"/>
  </sheets>
  <definedNames>
    <definedName name="ExternalData_1" localSheetId="0" hidden="1">Лист2!$A$1:$F$16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B986A-6954-4BF6-B110-F74722FE4027}" keepAlive="1" name="Запрос — dataPos2" description="Соединение с запросом &quot;dataPos2&quot; в книге." type="5" refreshedVersion="6" background="1" saveData="1">
    <dbPr connection="Provider=Microsoft.Mashup.OleDb.1;Data Source=$Workbook$;Location=dataPos2;Extended Properties=&quot;&quot;" command="SELECT * FROM [dataPos2]"/>
  </connection>
</connections>
</file>

<file path=xl/sharedStrings.xml><?xml version="1.0" encoding="utf-8"?>
<sst xmlns="http://schemas.openxmlformats.org/spreadsheetml/2006/main" count="37" uniqueCount="36">
  <si>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</si>
  <si>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</si>
  <si>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</si>
  <si>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</si>
  <si>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</si>
  <si>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</si>
  <si>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Essence</t>
  </si>
  <si>
    <t xml:space="preserve"> Essence Mascara Lash Princess</t>
  </si>
  <si>
    <t xml:space="preserve"> Glamour Beauty</t>
  </si>
  <si>
    <t xml:space="preserve"> Eyeshadow Palette with Mirror</t>
  </si>
  <si>
    <t xml:space="preserve"> Velvet Touch</t>
  </si>
  <si>
    <t xml:space="preserve"> Powder Canister</t>
  </si>
  <si>
    <t xml:space="preserve"> Chic Cosmetics</t>
  </si>
  <si>
    <t xml:space="preserve"> Red Lipstick</t>
  </si>
  <si>
    <t xml:space="preserve"> Nail Couture</t>
  </si>
  <si>
    <t xml:space="preserve"> Red Nail Polish</t>
  </si>
  <si>
    <t xml:space="preserve"> Calvin Klein</t>
  </si>
  <si>
    <t xml:space="preserve"> Calvin Klein CK One</t>
  </si>
  <si>
    <t xml:space="preserve"> Chanel</t>
  </si>
  <si>
    <t xml:space="preserve"> Chanel Coco Noir Eau De</t>
  </si>
  <si>
    <t xml:space="preserve"> Dior</t>
  </si>
  <si>
    <t xml:space="preserve"> Dior J'adore</t>
  </si>
  <si>
    <t xml:space="preserve"> Dolce &amp; Gabbana</t>
  </si>
  <si>
    <t xml:space="preserve"> Dolce Shine Eau de</t>
  </si>
  <si>
    <t xml:space="preserve"> Gucci</t>
  </si>
  <si>
    <t xml:space="preserve"> Gucci Bloom Eau de</t>
  </si>
  <si>
    <t xml:space="preserve"> Annibale Colombo</t>
  </si>
  <si>
    <t xml:space="preserve"> Annibale Colombo Bed</t>
  </si>
  <si>
    <t xml:space="preserve"> Annibale Colombo Sofa</t>
  </si>
  <si>
    <t xml:space="preserve"> Furniture Co.</t>
  </si>
  <si>
    <t xml:space="preserve"> Bedside Table African Cherry</t>
  </si>
  <si>
    <t xml:space="preserve"> Knoll</t>
  </si>
  <si>
    <t xml:space="preserve"> Knoll Saarinen Executive Conference Chair</t>
  </si>
  <si>
    <t xml:space="preserve"> Bath Trends</t>
  </si>
  <si>
    <t xml:space="preserve"> Wooden Bathroom Sink With Mirror</t>
  </si>
  <si>
    <t>Share of exports in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</si>
</sst>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NumberFormat="1" applyFill="1" applyBorder="1"/>
    <xf numFmtId="9" fontId="0" fillId="2" borderId="1" xfId="1" applyFont="1" applyFill="1" applyBorder="1"/>
  </cellXfs>
  <cellStyles count="2">
    <cellStyle name="Обычный" xfId="0" builtinId="0"/>
    <cellStyle name="Процентный" xfId="1" builtinId="5"/>
  </cellStyles>
  <dxfs count="8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91A577-4971-4748-AFE5-1119DF3D734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 Date" tableColumnId="2"/>
      <queryTableField id="3" name=" Name of the company" tableColumnId="3"/>
      <queryTableField id="4" name=" Name of the product" tableColumnId="4"/>
      <queryTableField id="5" name=" Produced, mln r" tableColumnId="5"/>
      <queryTableField id="6" name=" Including export, mln 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A25D0-635B-41A1-9500-434D7E1CD8BE}" name="dataPos2" displayName="dataPos2" ref="A1:G16" tableType="queryTable" totalsRowShown="0" dataDxfId="7">
  <autoFilter ref="A1:G16" xr:uid="{4F6DCCEE-7F35-43D6-B6AF-A3B0E26852D4}"/>
  <tableColumns count="7">
    <tableColumn id="1" xr3:uid="{83A4DCA4-AD9B-44AD-82E3-F87360727ABB}" uniqueName="1" name="ID" queryTableFieldId="1" dataDxfId="6"/>
    <tableColumn id="2" xr3:uid="{27EB4AF8-F438-471F-B4BF-141BA1FD0ABB}" uniqueName="2" name=" Date" queryTableFieldId="2" dataDxfId="5"/>
    <tableColumn id="3" xr3:uid="{B5530130-4E40-47A6-AEE4-CAD6CAA08AE4}" uniqueName="3" name=" Name of the company" queryTableFieldId="3" dataDxfId="4"/>
    <tableColumn id="4" xr3:uid="{214C3AD7-D27B-4131-AB9E-8329CF6CCB47}" uniqueName="4" name=" Name of the product" queryTableFieldId="4" dataDxfId="3"/>
    <tableColumn id="5" xr3:uid="{75FE8A2B-4216-4A3E-95BD-486CD33D07E3}" uniqueName="5" name=" Produced, mln r" queryTableFieldId="5" dataDxfId="2"/>
    <tableColumn id="6" xr3:uid="{47DA5619-E2DD-478C-AEA7-8D4DCD61633E}" uniqueName="6" name=" Including export, mln r" queryTableFieldId="6" dataDxfId="1"/>
    <tableColumn id="7" xr3:uid="{C176A85E-A85B-4762-AB02-F4CD949CB7F7}" uniqueName="7" name="Share of exports in income" queryTableFieldId="7" dataDxfId="0" dataCellStyle="Процентный">
      <calculatedColumnFormula>dataPos2[[#This Row],[ Including export, mln r]]/dataPos2[[#This Row],[ Produced, mln r]]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B70F-08ED-465D-A5C8-42B3E0645D6E}">
  <dimension ref="A1:G16"/>
  <sheetViews>
    <sheetView tabSelected="1" workbookViewId="0">
      <selection activeCell="L8" sqref="L8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36.33203125" bestFit="1" customWidth="1"/>
    <col min="5" max="5" width="17.21875" bestFit="1" customWidth="1"/>
    <col min="6" max="6" width="22.88671875" bestFit="1" customWidth="1"/>
    <col min="7" max="7" width="2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</row>
    <row r="2" spans="1:7" x14ac:dyDescent="0.3">
      <c r="A2" s="1">
        <v>1</v>
      </c>
      <c r="B2" s="2">
        <v>43101</v>
      </c>
      <c r="C2" s="3" t="s">
        <v>6</v>
      </c>
      <c r="D2" s="3" t="s">
        <v>7</v>
      </c>
      <c r="E2" s="1">
        <v>99</v>
      </c>
      <c r="F2" s="1">
        <v>14</v>
      </c>
      <c r="G2" s="4">
        <f>dataPos2[[#This Row],[ Including export, mln r]]/dataPos2[[#This Row],[ Produced, mln r]]</f>
        <v>0.14141414141414141</v>
      </c>
    </row>
    <row r="3" spans="1:7" x14ac:dyDescent="0.3">
      <c r="A3" s="1">
        <v>2</v>
      </c>
      <c r="B3" s="2">
        <v>43504</v>
      </c>
      <c r="C3" s="3" t="s">
        <v>8</v>
      </c>
      <c r="D3" s="3" t="s">
        <v>9</v>
      </c>
      <c r="E3" s="1">
        <v>34</v>
      </c>
      <c r="F3" s="1">
        <v>28</v>
      </c>
      <c r="G3" s="4">
        <f>dataPos2[[#This Row],[ Including export, mln r]]/dataPos2[[#This Row],[ Produced, mln r]]</f>
        <v>0.82352941176470584</v>
      </c>
    </row>
    <row r="4" spans="1:7" x14ac:dyDescent="0.3">
      <c r="A4" s="1">
        <v>3</v>
      </c>
      <c r="B4" s="2">
        <v>43905</v>
      </c>
      <c r="C4" s="3" t="s">
        <v>10</v>
      </c>
      <c r="D4" s="3" t="s">
        <v>11</v>
      </c>
      <c r="E4" s="1">
        <v>89</v>
      </c>
      <c r="F4" s="1">
        <v>71</v>
      </c>
      <c r="G4" s="4">
        <f>dataPos2[[#This Row],[ Including export, mln r]]/dataPos2[[#This Row],[ Produced, mln r]]</f>
        <v>0.797752808988764</v>
      </c>
    </row>
    <row r="5" spans="1:7" x14ac:dyDescent="0.3">
      <c r="A5" s="1">
        <v>4</v>
      </c>
      <c r="B5" s="2">
        <v>44308</v>
      </c>
      <c r="C5" s="3" t="s">
        <v>12</v>
      </c>
      <c r="D5" s="3" t="s">
        <v>13</v>
      </c>
      <c r="E5" s="1">
        <v>91</v>
      </c>
      <c r="F5" s="1">
        <v>44</v>
      </c>
      <c r="G5" s="4">
        <f>dataPos2[[#This Row],[ Including export, mln r]]/dataPos2[[#This Row],[ Produced, mln r]]</f>
        <v>0.48351648351648352</v>
      </c>
    </row>
    <row r="6" spans="1:7" x14ac:dyDescent="0.3">
      <c r="A6" s="1">
        <v>5</v>
      </c>
      <c r="B6" s="2">
        <v>44682</v>
      </c>
      <c r="C6" s="3" t="s">
        <v>14</v>
      </c>
      <c r="D6" s="3" t="s">
        <v>15</v>
      </c>
      <c r="E6" s="1">
        <v>79</v>
      </c>
      <c r="F6" s="1">
        <v>9</v>
      </c>
      <c r="G6" s="4">
        <f>dataPos2[[#This Row],[ Including export, mln r]]/dataPos2[[#This Row],[ Produced, mln r]]</f>
        <v>0.11392405063291139</v>
      </c>
    </row>
    <row r="7" spans="1:7" x14ac:dyDescent="0.3">
      <c r="A7" s="1">
        <v>6</v>
      </c>
      <c r="B7" s="2">
        <v>45085</v>
      </c>
      <c r="C7" s="3" t="s">
        <v>16</v>
      </c>
      <c r="D7" s="3" t="s">
        <v>17</v>
      </c>
      <c r="E7" s="1">
        <v>29</v>
      </c>
      <c r="F7" s="1">
        <v>12</v>
      </c>
      <c r="G7" s="4">
        <f>dataPos2[[#This Row],[ Including export, mln r]]/dataPos2[[#This Row],[ Produced, mln r]]</f>
        <v>0.41379310344827586</v>
      </c>
    </row>
    <row r="8" spans="1:7" x14ac:dyDescent="0.3">
      <c r="A8" s="1">
        <v>7</v>
      </c>
      <c r="B8" s="2">
        <v>45488</v>
      </c>
      <c r="C8" s="3" t="s">
        <v>18</v>
      </c>
      <c r="D8" s="3" t="s">
        <v>19</v>
      </c>
      <c r="E8" s="1">
        <v>58</v>
      </c>
      <c r="F8" s="1">
        <v>35</v>
      </c>
      <c r="G8" s="4">
        <f>dataPos2[[#This Row],[ Including export, mln r]]/dataPos2[[#This Row],[ Produced, mln r]]</f>
        <v>0.60344827586206895</v>
      </c>
    </row>
    <row r="9" spans="1:7" x14ac:dyDescent="0.3">
      <c r="A9" s="1">
        <v>8</v>
      </c>
      <c r="B9" s="2">
        <v>45891</v>
      </c>
      <c r="C9" s="3" t="s">
        <v>20</v>
      </c>
      <c r="D9" s="3" t="s">
        <v>21</v>
      </c>
      <c r="E9" s="1">
        <v>98</v>
      </c>
      <c r="F9" s="1">
        <v>82</v>
      </c>
      <c r="G9" s="4">
        <f>dataPos2[[#This Row],[ Including export, mln r]]/dataPos2[[#This Row],[ Produced, mln r]]</f>
        <v>0.83673469387755106</v>
      </c>
    </row>
    <row r="10" spans="1:7" x14ac:dyDescent="0.3">
      <c r="A10" s="1">
        <v>9</v>
      </c>
      <c r="B10" s="2">
        <v>43344</v>
      </c>
      <c r="C10" s="3" t="s">
        <v>22</v>
      </c>
      <c r="D10" s="3" t="s">
        <v>23</v>
      </c>
      <c r="E10" s="1">
        <v>4</v>
      </c>
      <c r="F10" s="1">
        <v>1</v>
      </c>
      <c r="G10" s="4">
        <f>dataPos2[[#This Row],[ Including export, mln r]]/dataPos2[[#This Row],[ Produced, mln r]]</f>
        <v>0.25</v>
      </c>
    </row>
    <row r="11" spans="1:7" x14ac:dyDescent="0.3">
      <c r="A11" s="1">
        <v>10</v>
      </c>
      <c r="B11" s="2">
        <v>43746</v>
      </c>
      <c r="C11" s="3" t="s">
        <v>24</v>
      </c>
      <c r="D11" s="3" t="s">
        <v>25</v>
      </c>
      <c r="E11" s="1">
        <v>91</v>
      </c>
      <c r="F11" s="1">
        <v>19</v>
      </c>
      <c r="G11" s="4">
        <f>dataPos2[[#This Row],[ Including export, mln r]]/dataPos2[[#This Row],[ Produced, mln r]]</f>
        <v>0.2087912087912088</v>
      </c>
    </row>
    <row r="12" spans="1:7" x14ac:dyDescent="0.3">
      <c r="A12" s="1">
        <v>11</v>
      </c>
      <c r="B12" s="2">
        <v>44150</v>
      </c>
      <c r="C12" s="3" t="s">
        <v>26</v>
      </c>
      <c r="D12" s="3" t="s">
        <v>27</v>
      </c>
      <c r="E12" s="1">
        <v>88</v>
      </c>
      <c r="F12" s="1">
        <v>56</v>
      </c>
      <c r="G12" s="4">
        <f>dataPos2[[#This Row],[ Including export, mln r]]/dataPos2[[#This Row],[ Produced, mln r]]</f>
        <v>0.63636363636363635</v>
      </c>
    </row>
    <row r="13" spans="1:7" x14ac:dyDescent="0.3">
      <c r="A13" s="1">
        <v>12</v>
      </c>
      <c r="B13" s="2">
        <v>44552</v>
      </c>
      <c r="C13" s="3" t="s">
        <v>26</v>
      </c>
      <c r="D13" s="3" t="s">
        <v>28</v>
      </c>
      <c r="E13" s="1">
        <v>60</v>
      </c>
      <c r="F13" s="1">
        <v>27</v>
      </c>
      <c r="G13" s="4">
        <f>dataPos2[[#This Row],[ Including export, mln r]]/dataPos2[[#This Row],[ Produced, mln r]]</f>
        <v>0.45</v>
      </c>
    </row>
    <row r="14" spans="1:7" x14ac:dyDescent="0.3">
      <c r="A14" s="1">
        <v>13</v>
      </c>
      <c r="B14" s="2">
        <v>44562</v>
      </c>
      <c r="C14" s="3" t="s">
        <v>29</v>
      </c>
      <c r="D14" s="3" t="s">
        <v>30</v>
      </c>
      <c r="E14" s="1">
        <v>64</v>
      </c>
      <c r="F14" s="1">
        <v>60</v>
      </c>
      <c r="G14" s="4">
        <f>dataPos2[[#This Row],[ Including export, mln r]]/dataPos2[[#This Row],[ Produced, mln r]]</f>
        <v>0.9375</v>
      </c>
    </row>
    <row r="15" spans="1:7" x14ac:dyDescent="0.3">
      <c r="A15" s="1">
        <v>14</v>
      </c>
      <c r="B15" s="2">
        <v>44965</v>
      </c>
      <c r="C15" s="3" t="s">
        <v>31</v>
      </c>
      <c r="D15" s="3" t="s">
        <v>32</v>
      </c>
      <c r="E15" s="1">
        <v>26</v>
      </c>
      <c r="F15" s="1">
        <v>5</v>
      </c>
      <c r="G15" s="4">
        <f>dataPos2[[#This Row],[ Including export, mln r]]/dataPos2[[#This Row],[ Produced, mln r]]</f>
        <v>0.19230769230769232</v>
      </c>
    </row>
    <row r="16" spans="1:7" x14ac:dyDescent="0.3">
      <c r="A16" s="1">
        <v>15</v>
      </c>
      <c r="B16" s="2">
        <v>45366</v>
      </c>
      <c r="C16" s="3" t="s">
        <v>33</v>
      </c>
      <c r="D16" s="3" t="s">
        <v>34</v>
      </c>
      <c r="E16" s="1">
        <v>7</v>
      </c>
      <c r="F16" s="1">
        <v>3</v>
      </c>
      <c r="G16" s="4">
        <f>dataPos2[[#This Row],[ Including export, mln r]]/dataPos2[[#This Row],[ Produced, mln r]]</f>
        <v>0.42857142857142855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F7D14-7501-420F-8136-4AAC85395D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2026-02-28T06:55:56Z</dcterms:modified>
</cp:coreProperties>
</file>