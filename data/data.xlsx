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ects\SemesterWork\"/>
    </mc:Choice>
  </mc:AlternateContent>
  <xr:revisionPtr revIDLastSave="0" documentId="13_ncr:1_{A7624319-5704-4BCF-BB54-603D96622F7D}" xr6:coauthVersionLast="37" xr6:coauthVersionMax="37" xr10:uidLastSave="{00000000-0000-0000-0000-000000000000}"/>
  <bookViews>
    <workbookView xWindow="0" yWindow="0" windowWidth="23040" windowHeight="8364" activeTab="1" xr2:uid="{78C7945D-4F1D-472E-83F9-0CE599057B7E}"/>
  </bookViews>
  <sheets>
    <sheet name="Лист3" sheetId="3" r:id="rId1"/>
    <sheet name="Лист6" sheetId="6" r:id="rId2"/>
    <sheet name="Лист5" sheetId="5" r:id="rId3"/>
    <sheet name="Лист4" sheetId="4" r:id="rId4"/>
    <sheet name="Лист2" sheetId="2" r:id="rId5"/>
    <sheet name="Лист1" sheetId="1" r:id="rId6"/>
  </sheets>
  <definedNames>
    <definedName name="ExternalData_2" localSheetId="0" hidden="1">Лист3!$A$1:$F$16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6" l="1"/>
  <c r="G6" i="6"/>
  <c r="G8" i="6"/>
  <c r="G10" i="6"/>
  <c r="G11" i="6"/>
  <c r="G12" i="6"/>
  <c r="G14" i="6"/>
  <c r="G16" i="6"/>
  <c r="G18" i="6"/>
  <c r="G20" i="6"/>
  <c r="G22" i="6"/>
  <c r="G24" i="6"/>
  <c r="G26" i="6"/>
  <c r="G27" i="6"/>
  <c r="G28" i="6"/>
  <c r="G30" i="6"/>
  <c r="G32" i="6"/>
  <c r="G34" i="6"/>
  <c r="G36" i="6"/>
  <c r="G38" i="6"/>
  <c r="G40" i="6"/>
  <c r="G41" i="6"/>
  <c r="G42" i="6"/>
  <c r="G43" i="6"/>
  <c r="G44" i="6"/>
  <c r="G46" i="6"/>
  <c r="G48" i="6"/>
  <c r="G49" i="6"/>
  <c r="G50" i="6"/>
  <c r="G52" i="6"/>
  <c r="G54" i="6"/>
  <c r="G56" i="6"/>
  <c r="G57" i="6"/>
  <c r="G58" i="6"/>
  <c r="G59" i="6"/>
  <c r="G60" i="6"/>
  <c r="G62" i="6"/>
  <c r="G64" i="6"/>
  <c r="G65" i="6"/>
  <c r="G66" i="6"/>
  <c r="G68" i="6"/>
  <c r="G70" i="6"/>
  <c r="G72" i="6"/>
  <c r="G73" i="6"/>
  <c r="G74" i="6"/>
  <c r="G75" i="6"/>
  <c r="G76" i="6"/>
  <c r="G78" i="6"/>
  <c r="G80" i="6"/>
  <c r="G81" i="6"/>
  <c r="G82" i="6"/>
  <c r="G84" i="6"/>
  <c r="G86" i="6"/>
  <c r="G88" i="6"/>
  <c r="G89" i="6"/>
  <c r="G90" i="6"/>
  <c r="G91" i="6"/>
  <c r="G92" i="6"/>
  <c r="G94" i="6"/>
  <c r="G96" i="6"/>
  <c r="G97" i="6"/>
  <c r="G98" i="6"/>
  <c r="G100" i="6"/>
  <c r="F101" i="6"/>
  <c r="G101" i="6" s="1"/>
  <c r="E101" i="6"/>
  <c r="F99" i="6"/>
  <c r="G99" i="6" s="1"/>
  <c r="E99" i="6"/>
  <c r="F97" i="6"/>
  <c r="E97" i="6"/>
  <c r="F95" i="6"/>
  <c r="G95" i="6" s="1"/>
  <c r="E95" i="6"/>
  <c r="F93" i="6"/>
  <c r="G93" i="6" s="1"/>
  <c r="E93" i="6"/>
  <c r="F91" i="6"/>
  <c r="E91" i="6"/>
  <c r="F89" i="6"/>
  <c r="E89" i="6"/>
  <c r="F87" i="6"/>
  <c r="G87" i="6" s="1"/>
  <c r="E87" i="6"/>
  <c r="F85" i="6"/>
  <c r="G85" i="6" s="1"/>
  <c r="E85" i="6"/>
  <c r="F83" i="6"/>
  <c r="G83" i="6" s="1"/>
  <c r="E83" i="6"/>
  <c r="F81" i="6"/>
  <c r="E81" i="6"/>
  <c r="F79" i="6"/>
  <c r="G79" i="6" s="1"/>
  <c r="E79" i="6"/>
  <c r="F77" i="6"/>
  <c r="G77" i="6" s="1"/>
  <c r="E77" i="6"/>
  <c r="F75" i="6"/>
  <c r="E75" i="6"/>
  <c r="F73" i="6"/>
  <c r="E73" i="6"/>
  <c r="F71" i="6"/>
  <c r="G71" i="6" s="1"/>
  <c r="E71" i="6"/>
  <c r="F69" i="6"/>
  <c r="G69" i="6" s="1"/>
  <c r="E69" i="6"/>
  <c r="F67" i="6"/>
  <c r="G67" i="6" s="1"/>
  <c r="E67" i="6"/>
  <c r="F65" i="6"/>
  <c r="E65" i="6"/>
  <c r="F63" i="6"/>
  <c r="G63" i="6" s="1"/>
  <c r="E63" i="6"/>
  <c r="F61" i="6"/>
  <c r="G61" i="6" s="1"/>
  <c r="E61" i="6"/>
  <c r="F59" i="6"/>
  <c r="E59" i="6"/>
  <c r="F57" i="6"/>
  <c r="E57" i="6"/>
  <c r="F55" i="6"/>
  <c r="G55" i="6" s="1"/>
  <c r="E55" i="6"/>
  <c r="F53" i="6"/>
  <c r="G53" i="6" s="1"/>
  <c r="E53" i="6"/>
  <c r="F51" i="6"/>
  <c r="G51" i="6" s="1"/>
  <c r="E51" i="6"/>
  <c r="F49" i="6"/>
  <c r="E49" i="6"/>
  <c r="F47" i="6"/>
  <c r="G47" i="6" s="1"/>
  <c r="E47" i="6"/>
  <c r="F45" i="6"/>
  <c r="G45" i="6" s="1"/>
  <c r="E45" i="6"/>
  <c r="F43" i="6"/>
  <c r="E43" i="6"/>
  <c r="F41" i="6"/>
  <c r="E41" i="6"/>
  <c r="F39" i="6"/>
  <c r="G39" i="6" s="1"/>
  <c r="E39" i="6"/>
  <c r="F37" i="6"/>
  <c r="G37" i="6" s="1"/>
  <c r="E37" i="6"/>
  <c r="F35" i="6"/>
  <c r="G35" i="6" s="1"/>
  <c r="E35" i="6"/>
  <c r="F33" i="6"/>
  <c r="G33" i="6" s="1"/>
  <c r="E33" i="6"/>
  <c r="F31" i="6"/>
  <c r="G31" i="6" s="1"/>
  <c r="E31" i="6"/>
  <c r="F29" i="6"/>
  <c r="G29" i="6" s="1"/>
  <c r="E29" i="6"/>
  <c r="F27" i="6"/>
  <c r="E27" i="6"/>
  <c r="F25" i="6"/>
  <c r="E25" i="6"/>
  <c r="G25" i="6" s="1"/>
  <c r="F23" i="6"/>
  <c r="G23" i="6" s="1"/>
  <c r="E23" i="6"/>
  <c r="F21" i="6"/>
  <c r="G21" i="6" s="1"/>
  <c r="E21" i="6"/>
  <c r="F19" i="6"/>
  <c r="G19" i="6" s="1"/>
  <c r="E19" i="6"/>
  <c r="F17" i="6"/>
  <c r="E17" i="6"/>
  <c r="G17" i="6" s="1"/>
  <c r="F15" i="6"/>
  <c r="G15" i="6" s="1"/>
  <c r="E15" i="6"/>
  <c r="F13" i="6"/>
  <c r="G13" i="6" s="1"/>
  <c r="E13" i="6"/>
  <c r="F11" i="6"/>
  <c r="E11" i="6"/>
  <c r="F9" i="6"/>
  <c r="E9" i="6"/>
  <c r="G9" i="6" s="1"/>
  <c r="F7" i="6"/>
  <c r="G7" i="6" s="1"/>
  <c r="E7" i="6"/>
  <c r="F5" i="6"/>
  <c r="G5" i="6" s="1"/>
  <c r="E5" i="6"/>
  <c r="F3" i="6"/>
  <c r="G3" i="6" s="1"/>
  <c r="E3" i="6"/>
  <c r="E102" i="6" s="1"/>
  <c r="G2" i="6"/>
  <c r="F102" i="6" l="1"/>
  <c r="G102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044B76-0508-4903-9FFC-1ADC24EFA7BF}" keepAlive="1" name="Запрос — data" description="Соединение с запросом &quot;data&quot; в книге." type="5" refreshedVersion="6" background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<sst xmlns="http://schemas.openxmlformats.org/spreadsheetml/2006/main" count="194" uniqueCount="192">
  <si>
    <t>ID</t>
  </si>
  <si>
    <t xml:space="preserve"> Date</t>
  </si>
  <si>
    <t xml:space="preserve"> Name of the company</t>
  </si>
  <si>
    <t xml:space="preserve"> Name of the product</t>
  </si>
  <si>
    <t xml:space="preserve"> Produced, mln r</t>
  </si>
  <si>
    <t xml:space="preserve"> Including export, mln r</t>
  </si>
  <si>
    <t xml:space="preserve"> Essence</t>
  </si>
  <si>
    <t xml:space="preserve"> Essence Mascara Lash Princess</t>
  </si>
  <si>
    <t xml:space="preserve"> Glamour Beauty</t>
  </si>
  <si>
    <t xml:space="preserve"> Eyeshadow Palette with Mirror</t>
  </si>
  <si>
    <t xml:space="preserve"> Velvet Touch</t>
  </si>
  <si>
    <t xml:space="preserve"> Powder Canister</t>
  </si>
  <si>
    <t xml:space="preserve"> Chic Cosmetics</t>
  </si>
  <si>
    <t xml:space="preserve"> Red Lipstick</t>
  </si>
  <si>
    <t xml:space="preserve"> Nail Couture</t>
  </si>
  <si>
    <t xml:space="preserve"> Red Nail Polish</t>
  </si>
  <si>
    <t xml:space="preserve"> Calvin Klein</t>
  </si>
  <si>
    <t xml:space="preserve"> Calvin Klein CK One</t>
  </si>
  <si>
    <t xml:space="preserve"> Chanel</t>
  </si>
  <si>
    <t xml:space="preserve"> Chanel Coco Noir Eau De</t>
  </si>
  <si>
    <t xml:space="preserve"> Dior</t>
  </si>
  <si>
    <t xml:space="preserve"> Dior J'adore</t>
  </si>
  <si>
    <t xml:space="preserve"> Dolce &amp; Gabbana</t>
  </si>
  <si>
    <t xml:space="preserve"> Dolce Shine Eau de</t>
  </si>
  <si>
    <t xml:space="preserve"> Gucci</t>
  </si>
  <si>
    <t xml:space="preserve"> Gucci Bloom Eau de</t>
  </si>
  <si>
    <t xml:space="preserve"> Annibale Colombo</t>
  </si>
  <si>
    <t xml:space="preserve"> Annibale Colombo Bed</t>
  </si>
  <si>
    <t xml:space="preserve"> Annibale Colombo Sofa</t>
  </si>
  <si>
    <t xml:space="preserve"> Furniture Co.</t>
  </si>
  <si>
    <t xml:space="preserve"> Bedside Table African Cherry</t>
  </si>
  <si>
    <t xml:space="preserve"> Knoll</t>
  </si>
  <si>
    <t xml:space="preserve"> Knoll Saarinen Executive Conference Chair</t>
  </si>
  <si>
    <t xml:space="preserve"> Bath Trends</t>
  </si>
  <si>
    <t xml:space="preserve"> Wooden Bathroom Sink With Mirror</t>
  </si>
  <si>
    <t>Общий итог</t>
  </si>
  <si>
    <t>Дата</t>
  </si>
  <si>
    <t>Компания</t>
  </si>
  <si>
    <t>Продукт</t>
  </si>
  <si>
    <t>Произведено, млн р.</t>
  </si>
  <si>
    <t>Экспорт, млн р.</t>
  </si>
  <si>
    <t>Эссенс Косметикс</t>
  </si>
  <si>
    <t>Тушь Эссенс Lash Princess</t>
  </si>
  <si>
    <t>Гламур Бьюти</t>
  </si>
  <si>
    <t>Палетка теней с зеркалом</t>
  </si>
  <si>
    <t>Вельвет Тач</t>
  </si>
  <si>
    <t>Контейнер для пудры</t>
  </si>
  <si>
    <t>Шик Косметикс</t>
  </si>
  <si>
    <t>Красная помада</t>
  </si>
  <si>
    <t>Нейл Кутюр</t>
  </si>
  <si>
    <t>Красный лак для ногтей</t>
  </si>
  <si>
    <t>Кельвин Кляйн</t>
  </si>
  <si>
    <t>Кельвин Кляйн CK One</t>
  </si>
  <si>
    <t>Шанель</t>
  </si>
  <si>
    <t>Шанель Коко Нуар (парфюм)</t>
  </si>
  <si>
    <t>Диор</t>
  </si>
  <si>
    <t>Диор Жадор</t>
  </si>
  <si>
    <t>Дольче и Габбана</t>
  </si>
  <si>
    <t>Дольче Шайн (вода)</t>
  </si>
  <si>
    <t>Гуччи</t>
  </si>
  <si>
    <t>Гуччи Блум (вода)</t>
  </si>
  <si>
    <t>Аннибале Коломбо</t>
  </si>
  <si>
    <t>Кровать Аннибале Коломбо</t>
  </si>
  <si>
    <t>Аннибале Коломбо (Мебель)</t>
  </si>
  <si>
    <t>Диван Аннибале Коломбо</t>
  </si>
  <si>
    <t>Фёрничер Ко</t>
  </si>
  <si>
    <t>Тумбочка «Африканская вишня»</t>
  </si>
  <si>
    <t>Нолл</t>
  </si>
  <si>
    <t>Стул для конференций Knoll Saarinen</t>
  </si>
  <si>
    <t>Бас Трендс</t>
  </si>
  <si>
    <t>Деревянная раковина с зеркалом</t>
  </si>
  <si>
    <t>Эссенс Про</t>
  </si>
  <si>
    <t>Тушь Эссенс Lash Princess (Модель 2)</t>
  </si>
  <si>
    <t>Гламур Бьюти Плюс</t>
  </si>
  <si>
    <t>Палетка теней с зеркалом (Версия 2)</t>
  </si>
  <si>
    <t>Вельвет Тач Групп</t>
  </si>
  <si>
    <t>Контейнер для пудры (Тип Б)</t>
  </si>
  <si>
    <t>Шик Косметикс Люкс</t>
  </si>
  <si>
    <t>Красная помада (Матовая)</t>
  </si>
  <si>
    <t>Нейл Кутюр Мастер</t>
  </si>
  <si>
    <t>Красный лак для ногтей (Стойкий)</t>
  </si>
  <si>
    <t>Кельвин Кляйн (Парфюм)</t>
  </si>
  <si>
    <t>Кельвин Кляйн CK One (Юбилейный)</t>
  </si>
  <si>
    <t>Шанель (Париж)</t>
  </si>
  <si>
    <t>Шанель Коко Нуар (Экстракт)</t>
  </si>
  <si>
    <t>Диор (Франция)</t>
  </si>
  <si>
    <t>Диор Жадор (Лимитированная серия)</t>
  </si>
  <si>
    <t>Дольче и Габбана (Милан)</t>
  </si>
  <si>
    <t>Дольче Шайн (Эссенция)</t>
  </si>
  <si>
    <t>Гуччи (Италия)</t>
  </si>
  <si>
    <t>Гуччи Блум (Интенс)</t>
  </si>
  <si>
    <t>Аннибале Коломбо (Стиль)</t>
  </si>
  <si>
    <t>Кровать Аннибале Коломбо (Престиж)</t>
  </si>
  <si>
    <t>Аннибале Коломбо (Люкс)</t>
  </si>
  <si>
    <t>Диван Аннибале Коломбо (Классик)</t>
  </si>
  <si>
    <t>Мебельная Компания №1</t>
  </si>
  <si>
    <t>Тумбочка «Вишневый сад»</t>
  </si>
  <si>
    <t>Нолл Дизайн</t>
  </si>
  <si>
    <t>Стул Knoll Saarinen (Офисный)</t>
  </si>
  <si>
    <t>Бас Трендс Дизайн</t>
  </si>
  <si>
    <t>Раковина из дерева (Премиум)</t>
  </si>
  <si>
    <t>Эппл</t>
  </si>
  <si>
    <t>Яблоко</t>
  </si>
  <si>
    <t>Мясной Двор</t>
  </si>
  <si>
    <t>Стейк из говядины</t>
  </si>
  <si>
    <t>Кошачий Корм</t>
  </si>
  <si>
    <t>Корм для кошек</t>
  </si>
  <si>
    <t>Куриная Ферма</t>
  </si>
  <si>
    <t>Куриное мясо</t>
  </si>
  <si>
    <t>МаслоПром</t>
  </si>
  <si>
    <t>Масло подсолнечное</t>
  </si>
  <si>
    <t>Овощной Рай</t>
  </si>
  <si>
    <t>Огурец</t>
  </si>
  <si>
    <t>Собачья Радость</t>
  </si>
  <si>
    <t>Корм для собак</t>
  </si>
  <si>
    <t>Птицефабрика</t>
  </si>
  <si>
    <t>Яйца</t>
  </si>
  <si>
    <t>Рыбный Цех</t>
  </si>
  <si>
    <t>Стейк из рыбы</t>
  </si>
  <si>
    <t>Зеленый Сад</t>
  </si>
  <si>
    <t>Зеленый болгарский перец</t>
  </si>
  <si>
    <t>Перец-Чили</t>
  </si>
  <si>
    <t>Зеленый перец чили</t>
  </si>
  <si>
    <t>Медовая Лавка</t>
  </si>
  <si>
    <t>Банка меда</t>
  </si>
  <si>
    <t>Снежное Лакомство</t>
  </si>
  <si>
    <t>Мороженое</t>
  </si>
  <si>
    <t>Соковый Завод</t>
  </si>
  <si>
    <t>Сок</t>
  </si>
  <si>
    <t>Фруктовый Мир</t>
  </si>
  <si>
    <t>Киви</t>
  </si>
  <si>
    <t>Апекс Бьюти</t>
  </si>
  <si>
    <t>Тушь Эссенс Lash Princess (Апекс)</t>
  </si>
  <si>
    <t>Луна Косметикс</t>
  </si>
  <si>
    <t>Палетка теней (Луна)</t>
  </si>
  <si>
    <t>Вельвет Воркс</t>
  </si>
  <si>
    <t>Контейнер для пудры (Воркс)</t>
  </si>
  <si>
    <t>Шик Лайн</t>
  </si>
  <si>
    <t>Красная помада (Линия Шик)</t>
  </si>
  <si>
    <t>Нейл Артизанс</t>
  </si>
  <si>
    <t>Красный лак для ногтей (Мастер)</t>
  </si>
  <si>
    <t>Доля экспорта</t>
  </si>
  <si>
    <t>Аннибале Коломбо Итог</t>
  </si>
  <si>
    <t>Аннибале Коломбо (Люкс) Итог</t>
  </si>
  <si>
    <t>Аннибале Коломбо (Мебель) Итог</t>
  </si>
  <si>
    <t>Аннибале Коломбо (Стиль) Итог</t>
  </si>
  <si>
    <t>Апекс Бьюти Итог</t>
  </si>
  <si>
    <t>Бас Трендс Итог</t>
  </si>
  <si>
    <t>Бас Трендс Дизайн Итог</t>
  </si>
  <si>
    <t>Вельвет Воркс Итог</t>
  </si>
  <si>
    <t>Вельвет Тач Итог</t>
  </si>
  <si>
    <t>Вельвет Тач Групп Итог</t>
  </si>
  <si>
    <t>Гламур Бьюти Итог</t>
  </si>
  <si>
    <t>Гламур Бьюти Плюс Итог</t>
  </si>
  <si>
    <t>Гуччи Итог</t>
  </si>
  <si>
    <t>Гуччи (Италия) Итог</t>
  </si>
  <si>
    <t>Диор Итог</t>
  </si>
  <si>
    <t>Диор (Франция) Итог</t>
  </si>
  <si>
    <t>Дольче и Габбана Итог</t>
  </si>
  <si>
    <t>Дольче и Габбана (Милан) Итог</t>
  </si>
  <si>
    <t>Зеленый Сад Итог</t>
  </si>
  <si>
    <t>Кельвин Кляйн Итог</t>
  </si>
  <si>
    <t>Кельвин Кляйн (Парфюм) Итог</t>
  </si>
  <si>
    <t>Кошачий Корм Итог</t>
  </si>
  <si>
    <t>Куриная Ферма Итог</t>
  </si>
  <si>
    <t>Луна Косметикс Итог</t>
  </si>
  <si>
    <t>МаслоПром Итог</t>
  </si>
  <si>
    <t>Мебельная Компания №1 Итог</t>
  </si>
  <si>
    <t>Медовая Лавка Итог</t>
  </si>
  <si>
    <t>Мясной Двор Итог</t>
  </si>
  <si>
    <t>Нейл Артизанс Итог</t>
  </si>
  <si>
    <t>Нейл Кутюр Итог</t>
  </si>
  <si>
    <t>Нейл Кутюр Мастер Итог</t>
  </si>
  <si>
    <t>Нолл Итог</t>
  </si>
  <si>
    <t>Нолл Дизайн Итог</t>
  </si>
  <si>
    <t>Овощной Рай Итог</t>
  </si>
  <si>
    <t>Перец-Чили Итог</t>
  </si>
  <si>
    <t>Птицефабрика Итог</t>
  </si>
  <si>
    <t>Рыбный Цех Итог</t>
  </si>
  <si>
    <t>Снежное Лакомство Итог</t>
  </si>
  <si>
    <t>Собачья Радость Итог</t>
  </si>
  <si>
    <t>Соковый Завод Итог</t>
  </si>
  <si>
    <t>Фёрничер Ко Итог</t>
  </si>
  <si>
    <t>Фруктовый Мир Итог</t>
  </si>
  <si>
    <t>Шанель Итог</t>
  </si>
  <si>
    <t>Шанель (Париж) Итог</t>
  </si>
  <si>
    <t>Шик Косметикс Итог</t>
  </si>
  <si>
    <t>Шик Косметикс Люкс Итог</t>
  </si>
  <si>
    <t>Шик Лайн Итог</t>
  </si>
  <si>
    <t>Эппл Итог</t>
  </si>
  <si>
    <t>Эссенс Косметикс Итог</t>
  </si>
  <si>
    <t>Эссенс Про 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</si>
</sst>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theme="9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2" borderId="1" xfId="0" applyFont="1" applyFill="1" applyBorder="1"/>
    <xf numFmtId="14" fontId="0" fillId="2" borderId="1" xfId="0" applyNumberFormat="1" applyFont="1" applyFill="1" applyBorder="1"/>
    <xf numFmtId="0" fontId="0" fillId="2" borderId="1" xfId="0" applyNumberFormat="1" applyFont="1" applyFill="1" applyBorder="1"/>
    <xf numFmtId="9" fontId="0" fillId="2" borderId="1" xfId="1" applyNumberFormat="1" applyFont="1" applyFill="1" applyBorder="1"/>
    <xf numFmtId="14" fontId="0" fillId="0" borderId="0" xfId="0" applyNumberFormat="1"/>
    <xf numFmtId="0" fontId="0" fillId="0" borderId="0" xfId="0" applyNumberFormat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0" fillId="2" borderId="5" xfId="0" applyFont="1" applyFill="1" applyBorder="1"/>
    <xf numFmtId="14" fontId="0" fillId="2" borderId="5" xfId="0" applyNumberFormat="1" applyFont="1" applyFill="1" applyBorder="1"/>
    <xf numFmtId="0" fontId="0" fillId="2" borderId="5" xfId="0" applyNumberFormat="1" applyFont="1" applyFill="1" applyBorder="1"/>
    <xf numFmtId="9" fontId="0" fillId="2" borderId="6" xfId="1" applyNumberFormat="1" applyFont="1" applyFill="1" applyBorder="1"/>
    <xf numFmtId="0" fontId="0" fillId="2" borderId="7" xfId="0" applyFont="1" applyFill="1" applyBorder="1"/>
    <xf numFmtId="14" fontId="0" fillId="2" borderId="7" xfId="0" applyNumberFormat="1" applyFont="1" applyFill="1" applyBorder="1"/>
    <xf numFmtId="0" fontId="0" fillId="2" borderId="7" xfId="0" applyNumberFormat="1" applyFont="1" applyFill="1" applyBorder="1"/>
    <xf numFmtId="0" fontId="3" fillId="2" borderId="5" xfId="0" applyNumberFormat="1" applyFont="1" applyFill="1" applyBorder="1"/>
    <xf numFmtId="9" fontId="0" fillId="2" borderId="8" xfId="1" applyNumberFormat="1" applyFont="1" applyFill="1" applyBorder="1"/>
    <xf numFmtId="0" fontId="3" fillId="2" borderId="1" xfId="0" applyNumberFormat="1" applyFont="1" applyFill="1" applyBorder="1"/>
    <xf numFmtId="9" fontId="0" fillId="0" borderId="0" xfId="1" applyFont="1"/>
    <xf numFmtId="0" fontId="3" fillId="0" borderId="0" xfId="0" applyNumberFormat="1" applyFont="1"/>
  </cellXfs>
  <cellStyles count="2">
    <cellStyle name="Обычный" xfId="0" builtinId="0"/>
    <cellStyle name="Процентный" xfId="1" builtinId="5"/>
  </cellStyles>
  <dxfs count="3"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Лист6!$D$1</c:f>
              <c:strCache>
                <c:ptCount val="1"/>
                <c:pt idx="0">
                  <c:v>Продукт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Лист6!$C$2:$C$101</c:f>
              <c:strCache>
                <c:ptCount val="50"/>
                <c:pt idx="0">
                  <c:v>Аннибале Коломбо Итог</c:v>
                </c:pt>
                <c:pt idx="1">
                  <c:v>Аннибале Коломбо (Люкс) Итог</c:v>
                </c:pt>
                <c:pt idx="2">
                  <c:v>Аннибале Коломбо (Мебель) Итог</c:v>
                </c:pt>
                <c:pt idx="3">
                  <c:v>Аннибале Коломбо (Стиль) Итог</c:v>
                </c:pt>
                <c:pt idx="4">
                  <c:v>Апекс Бьюти Итог</c:v>
                </c:pt>
                <c:pt idx="5">
                  <c:v>Бас Трендс Итог</c:v>
                </c:pt>
                <c:pt idx="6">
                  <c:v>Бас Трендс Дизайн Итог</c:v>
                </c:pt>
                <c:pt idx="7">
                  <c:v>Вельвет Воркс Итог</c:v>
                </c:pt>
                <c:pt idx="8">
                  <c:v>Вельвет Тач Итог</c:v>
                </c:pt>
                <c:pt idx="9">
                  <c:v>Вельвет Тач Групп Итог</c:v>
                </c:pt>
                <c:pt idx="10">
                  <c:v>Гламур Бьюти Итог</c:v>
                </c:pt>
                <c:pt idx="11">
                  <c:v>Гламур Бьюти Плюс Итог</c:v>
                </c:pt>
                <c:pt idx="12">
                  <c:v>Гуччи Итог</c:v>
                </c:pt>
                <c:pt idx="13">
                  <c:v>Гуччи (Италия) Итог</c:v>
                </c:pt>
                <c:pt idx="14">
                  <c:v>Диор Итог</c:v>
                </c:pt>
                <c:pt idx="15">
                  <c:v>Диор (Франция) Итог</c:v>
                </c:pt>
                <c:pt idx="16">
                  <c:v>Дольче и Габбана Итог</c:v>
                </c:pt>
                <c:pt idx="17">
                  <c:v>Дольче и Габбана (Милан) Итог</c:v>
                </c:pt>
                <c:pt idx="18">
                  <c:v>Зеленый Сад Итог</c:v>
                </c:pt>
                <c:pt idx="19">
                  <c:v>Кельвин Кляйн Итог</c:v>
                </c:pt>
                <c:pt idx="20">
                  <c:v>Кельвин Кляйн (Парфюм) Итог</c:v>
                </c:pt>
                <c:pt idx="21">
                  <c:v>Кошачий Корм Итог</c:v>
                </c:pt>
                <c:pt idx="22">
                  <c:v>Куриная Ферма Итог</c:v>
                </c:pt>
                <c:pt idx="23">
                  <c:v>Луна Косметикс Итог</c:v>
                </c:pt>
                <c:pt idx="24">
                  <c:v>МаслоПром Итог</c:v>
                </c:pt>
                <c:pt idx="25">
                  <c:v>Мебельная Компания №1 Итог</c:v>
                </c:pt>
                <c:pt idx="26">
                  <c:v>Медовая Лавка Итог</c:v>
                </c:pt>
                <c:pt idx="27">
                  <c:v>Мясной Двор Итог</c:v>
                </c:pt>
                <c:pt idx="28">
                  <c:v>Нейл Артизанс Итог</c:v>
                </c:pt>
                <c:pt idx="29">
                  <c:v>Нейл Кутюр Итог</c:v>
                </c:pt>
                <c:pt idx="30">
                  <c:v>Нейл Кутюр Мастер Итог</c:v>
                </c:pt>
                <c:pt idx="31">
                  <c:v>Нолл Итог</c:v>
                </c:pt>
                <c:pt idx="32">
                  <c:v>Нолл Дизайн Итог</c:v>
                </c:pt>
                <c:pt idx="33">
                  <c:v>Овощной Рай Итог</c:v>
                </c:pt>
                <c:pt idx="34">
                  <c:v>Перец-Чили Итог</c:v>
                </c:pt>
                <c:pt idx="35">
                  <c:v>Птицефабрика Итог</c:v>
                </c:pt>
                <c:pt idx="36">
                  <c:v>Рыбный Цех Итог</c:v>
                </c:pt>
                <c:pt idx="37">
                  <c:v>Снежное Лакомство Итог</c:v>
                </c:pt>
                <c:pt idx="38">
                  <c:v>Собачья Радость Итог</c:v>
                </c:pt>
                <c:pt idx="39">
                  <c:v>Соковый Завод Итог</c:v>
                </c:pt>
                <c:pt idx="40">
                  <c:v>Фёрничер Ко Итог</c:v>
                </c:pt>
                <c:pt idx="41">
                  <c:v>Фруктовый Мир Итог</c:v>
                </c:pt>
                <c:pt idx="42">
                  <c:v>Шанель Итог</c:v>
                </c:pt>
                <c:pt idx="43">
                  <c:v>Шанель (Париж) Итог</c:v>
                </c:pt>
                <c:pt idx="44">
                  <c:v>Шик Косметикс Итог</c:v>
                </c:pt>
                <c:pt idx="45">
                  <c:v>Шик Косметикс Люкс Итог</c:v>
                </c:pt>
                <c:pt idx="46">
                  <c:v>Шик Лайн Итог</c:v>
                </c:pt>
                <c:pt idx="47">
                  <c:v>Эппл Итог</c:v>
                </c:pt>
                <c:pt idx="48">
                  <c:v>Эссенс Косметикс Итог</c:v>
                </c:pt>
                <c:pt idx="49">
                  <c:v>Эссенс Про Итог</c:v>
                </c:pt>
              </c:strCache>
            </c:strRef>
          </c:cat>
          <c:val>
            <c:numRef>
              <c:f>Лист6!$D$2:$D$101</c:f>
              <c:numCache>
                <c:formatCode>General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C966-4FE6-8D42-6436A532DE09}"/>
            </c:ext>
          </c:extLst>
        </c:ser>
        <c:ser>
          <c:idx val="1"/>
          <c:order val="1"/>
          <c:tx>
            <c:strRef>
              <c:f>Лист6!$E$1</c:f>
              <c:strCache>
                <c:ptCount val="1"/>
                <c:pt idx="0">
                  <c:v>Произведено, млн р.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Лист6!$C$2:$C$101</c:f>
              <c:strCache>
                <c:ptCount val="50"/>
                <c:pt idx="0">
                  <c:v>Аннибале Коломбо Итог</c:v>
                </c:pt>
                <c:pt idx="1">
                  <c:v>Аннибале Коломбо (Люкс) Итог</c:v>
                </c:pt>
                <c:pt idx="2">
                  <c:v>Аннибале Коломбо (Мебель) Итог</c:v>
                </c:pt>
                <c:pt idx="3">
                  <c:v>Аннибале Коломбо (Стиль) Итог</c:v>
                </c:pt>
                <c:pt idx="4">
                  <c:v>Апекс Бьюти Итог</c:v>
                </c:pt>
                <c:pt idx="5">
                  <c:v>Бас Трендс Итог</c:v>
                </c:pt>
                <c:pt idx="6">
                  <c:v>Бас Трендс Дизайн Итог</c:v>
                </c:pt>
                <c:pt idx="7">
                  <c:v>Вельвет Воркс Итог</c:v>
                </c:pt>
                <c:pt idx="8">
                  <c:v>Вельвет Тач Итог</c:v>
                </c:pt>
                <c:pt idx="9">
                  <c:v>Вельвет Тач Групп Итог</c:v>
                </c:pt>
                <c:pt idx="10">
                  <c:v>Гламур Бьюти Итог</c:v>
                </c:pt>
                <c:pt idx="11">
                  <c:v>Гламур Бьюти Плюс Итог</c:v>
                </c:pt>
                <c:pt idx="12">
                  <c:v>Гуччи Итог</c:v>
                </c:pt>
                <c:pt idx="13">
                  <c:v>Гуччи (Италия) Итог</c:v>
                </c:pt>
                <c:pt idx="14">
                  <c:v>Диор Итог</c:v>
                </c:pt>
                <c:pt idx="15">
                  <c:v>Диор (Франция) Итог</c:v>
                </c:pt>
                <c:pt idx="16">
                  <c:v>Дольче и Габбана Итог</c:v>
                </c:pt>
                <c:pt idx="17">
                  <c:v>Дольче и Габбана (Милан) Итог</c:v>
                </c:pt>
                <c:pt idx="18">
                  <c:v>Зеленый Сад Итог</c:v>
                </c:pt>
                <c:pt idx="19">
                  <c:v>Кельвин Кляйн Итог</c:v>
                </c:pt>
                <c:pt idx="20">
                  <c:v>Кельвин Кляйн (Парфюм) Итог</c:v>
                </c:pt>
                <c:pt idx="21">
                  <c:v>Кошачий Корм Итог</c:v>
                </c:pt>
                <c:pt idx="22">
                  <c:v>Куриная Ферма Итог</c:v>
                </c:pt>
                <c:pt idx="23">
                  <c:v>Луна Косметикс Итог</c:v>
                </c:pt>
                <c:pt idx="24">
                  <c:v>МаслоПром Итог</c:v>
                </c:pt>
                <c:pt idx="25">
                  <c:v>Мебельная Компания №1 Итог</c:v>
                </c:pt>
                <c:pt idx="26">
                  <c:v>Медовая Лавка Итог</c:v>
                </c:pt>
                <c:pt idx="27">
                  <c:v>Мясной Двор Итог</c:v>
                </c:pt>
                <c:pt idx="28">
                  <c:v>Нейл Артизанс Итог</c:v>
                </c:pt>
                <c:pt idx="29">
                  <c:v>Нейл Кутюр Итог</c:v>
                </c:pt>
                <c:pt idx="30">
                  <c:v>Нейл Кутюр Мастер Итог</c:v>
                </c:pt>
                <c:pt idx="31">
                  <c:v>Нолл Итог</c:v>
                </c:pt>
                <c:pt idx="32">
                  <c:v>Нолл Дизайн Итог</c:v>
                </c:pt>
                <c:pt idx="33">
                  <c:v>Овощной Рай Итог</c:v>
                </c:pt>
                <c:pt idx="34">
                  <c:v>Перец-Чили Итог</c:v>
                </c:pt>
                <c:pt idx="35">
                  <c:v>Птицефабрика Итог</c:v>
                </c:pt>
                <c:pt idx="36">
                  <c:v>Рыбный Цех Итог</c:v>
                </c:pt>
                <c:pt idx="37">
                  <c:v>Снежное Лакомство Итог</c:v>
                </c:pt>
                <c:pt idx="38">
                  <c:v>Собачья Радость Итог</c:v>
                </c:pt>
                <c:pt idx="39">
                  <c:v>Соковый Завод Итог</c:v>
                </c:pt>
                <c:pt idx="40">
                  <c:v>Фёрничер Ко Итог</c:v>
                </c:pt>
                <c:pt idx="41">
                  <c:v>Фруктовый Мир Итог</c:v>
                </c:pt>
                <c:pt idx="42">
                  <c:v>Шанель Итог</c:v>
                </c:pt>
                <c:pt idx="43">
                  <c:v>Шанель (Париж) Итог</c:v>
                </c:pt>
                <c:pt idx="44">
                  <c:v>Шик Косметикс Итог</c:v>
                </c:pt>
                <c:pt idx="45">
                  <c:v>Шик Косметикс Люкс Итог</c:v>
                </c:pt>
                <c:pt idx="46">
                  <c:v>Шик Лайн Итог</c:v>
                </c:pt>
                <c:pt idx="47">
                  <c:v>Эппл Итог</c:v>
                </c:pt>
                <c:pt idx="48">
                  <c:v>Эссенс Косметикс Итог</c:v>
                </c:pt>
                <c:pt idx="49">
                  <c:v>Эссенс Про Итог</c:v>
                </c:pt>
              </c:strCache>
            </c:strRef>
          </c:cat>
          <c:val>
            <c:numRef>
              <c:f>Лист6!$E$2:$E$101</c:f>
              <c:numCache>
                <c:formatCode>General</c:formatCode>
                <c:ptCount val="50"/>
                <c:pt idx="0">
                  <c:v>88</c:v>
                </c:pt>
                <c:pt idx="1">
                  <c:v>60</c:v>
                </c:pt>
                <c:pt idx="2">
                  <c:v>60</c:v>
                </c:pt>
                <c:pt idx="3">
                  <c:v>88</c:v>
                </c:pt>
                <c:pt idx="4">
                  <c:v>120</c:v>
                </c:pt>
                <c:pt idx="5">
                  <c:v>7</c:v>
                </c:pt>
                <c:pt idx="6">
                  <c:v>7</c:v>
                </c:pt>
                <c:pt idx="7">
                  <c:v>95</c:v>
                </c:pt>
                <c:pt idx="8">
                  <c:v>89</c:v>
                </c:pt>
                <c:pt idx="9">
                  <c:v>89</c:v>
                </c:pt>
                <c:pt idx="10">
                  <c:v>34</c:v>
                </c:pt>
                <c:pt idx="11">
                  <c:v>34</c:v>
                </c:pt>
                <c:pt idx="12">
                  <c:v>91</c:v>
                </c:pt>
                <c:pt idx="13">
                  <c:v>91</c:v>
                </c:pt>
                <c:pt idx="14">
                  <c:v>98</c:v>
                </c:pt>
                <c:pt idx="15">
                  <c:v>98</c:v>
                </c:pt>
                <c:pt idx="16">
                  <c:v>4</c:v>
                </c:pt>
                <c:pt idx="17">
                  <c:v>4</c:v>
                </c:pt>
                <c:pt idx="18">
                  <c:v>33</c:v>
                </c:pt>
                <c:pt idx="19">
                  <c:v>29</c:v>
                </c:pt>
                <c:pt idx="20">
                  <c:v>29</c:v>
                </c:pt>
                <c:pt idx="21">
                  <c:v>46</c:v>
                </c:pt>
                <c:pt idx="22">
                  <c:v>97</c:v>
                </c:pt>
                <c:pt idx="23">
                  <c:v>34</c:v>
                </c:pt>
                <c:pt idx="24">
                  <c:v>10</c:v>
                </c:pt>
                <c:pt idx="25">
                  <c:v>64</c:v>
                </c:pt>
                <c:pt idx="26">
                  <c:v>34</c:v>
                </c:pt>
                <c:pt idx="27">
                  <c:v>86</c:v>
                </c:pt>
                <c:pt idx="28">
                  <c:v>79</c:v>
                </c:pt>
                <c:pt idx="29">
                  <c:v>79</c:v>
                </c:pt>
                <c:pt idx="30">
                  <c:v>79</c:v>
                </c:pt>
                <c:pt idx="31">
                  <c:v>26</c:v>
                </c:pt>
                <c:pt idx="32">
                  <c:v>26</c:v>
                </c:pt>
                <c:pt idx="33">
                  <c:v>84</c:v>
                </c:pt>
                <c:pt idx="34">
                  <c:v>3</c:v>
                </c:pt>
                <c:pt idx="35">
                  <c:v>9</c:v>
                </c:pt>
                <c:pt idx="36">
                  <c:v>74</c:v>
                </c:pt>
                <c:pt idx="37">
                  <c:v>27</c:v>
                </c:pt>
                <c:pt idx="38">
                  <c:v>71</c:v>
                </c:pt>
                <c:pt idx="39">
                  <c:v>50</c:v>
                </c:pt>
                <c:pt idx="40">
                  <c:v>64</c:v>
                </c:pt>
                <c:pt idx="41">
                  <c:v>99</c:v>
                </c:pt>
                <c:pt idx="42">
                  <c:v>58</c:v>
                </c:pt>
                <c:pt idx="43">
                  <c:v>58</c:v>
                </c:pt>
                <c:pt idx="44">
                  <c:v>91</c:v>
                </c:pt>
                <c:pt idx="45">
                  <c:v>91</c:v>
                </c:pt>
                <c:pt idx="46">
                  <c:v>88</c:v>
                </c:pt>
                <c:pt idx="47">
                  <c:v>8</c:v>
                </c:pt>
                <c:pt idx="48">
                  <c:v>99</c:v>
                </c:pt>
                <c:pt idx="49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66-4FE6-8D42-6436A532DE09}"/>
            </c:ext>
          </c:extLst>
        </c:ser>
        <c:ser>
          <c:idx val="2"/>
          <c:order val="2"/>
          <c:tx>
            <c:strRef>
              <c:f>Лист6!$F$1</c:f>
              <c:strCache>
                <c:ptCount val="1"/>
                <c:pt idx="0">
                  <c:v>Экспорт, млн р.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Лист6!$C$2:$C$101</c:f>
              <c:strCache>
                <c:ptCount val="50"/>
                <c:pt idx="0">
                  <c:v>Аннибале Коломбо Итог</c:v>
                </c:pt>
                <c:pt idx="1">
                  <c:v>Аннибале Коломбо (Люкс) Итог</c:v>
                </c:pt>
                <c:pt idx="2">
                  <c:v>Аннибале Коломбо (Мебель) Итог</c:v>
                </c:pt>
                <c:pt idx="3">
                  <c:v>Аннибале Коломбо (Стиль) Итог</c:v>
                </c:pt>
                <c:pt idx="4">
                  <c:v>Апекс Бьюти Итог</c:v>
                </c:pt>
                <c:pt idx="5">
                  <c:v>Бас Трендс Итог</c:v>
                </c:pt>
                <c:pt idx="6">
                  <c:v>Бас Трендс Дизайн Итог</c:v>
                </c:pt>
                <c:pt idx="7">
                  <c:v>Вельвет Воркс Итог</c:v>
                </c:pt>
                <c:pt idx="8">
                  <c:v>Вельвет Тач Итог</c:v>
                </c:pt>
                <c:pt idx="9">
                  <c:v>Вельвет Тач Групп Итог</c:v>
                </c:pt>
                <c:pt idx="10">
                  <c:v>Гламур Бьюти Итог</c:v>
                </c:pt>
                <c:pt idx="11">
                  <c:v>Гламур Бьюти Плюс Итог</c:v>
                </c:pt>
                <c:pt idx="12">
                  <c:v>Гуччи Итог</c:v>
                </c:pt>
                <c:pt idx="13">
                  <c:v>Гуччи (Италия) Итог</c:v>
                </c:pt>
                <c:pt idx="14">
                  <c:v>Диор Итог</c:v>
                </c:pt>
                <c:pt idx="15">
                  <c:v>Диор (Франция) Итог</c:v>
                </c:pt>
                <c:pt idx="16">
                  <c:v>Дольче и Габбана Итог</c:v>
                </c:pt>
                <c:pt idx="17">
                  <c:v>Дольче и Габбана (Милан) Итог</c:v>
                </c:pt>
                <c:pt idx="18">
                  <c:v>Зеленый Сад Итог</c:v>
                </c:pt>
                <c:pt idx="19">
                  <c:v>Кельвин Кляйн Итог</c:v>
                </c:pt>
                <c:pt idx="20">
                  <c:v>Кельвин Кляйн (Парфюм) Итог</c:v>
                </c:pt>
                <c:pt idx="21">
                  <c:v>Кошачий Корм Итог</c:v>
                </c:pt>
                <c:pt idx="22">
                  <c:v>Куриная Ферма Итог</c:v>
                </c:pt>
                <c:pt idx="23">
                  <c:v>Луна Косметикс Итог</c:v>
                </c:pt>
                <c:pt idx="24">
                  <c:v>МаслоПром Итог</c:v>
                </c:pt>
                <c:pt idx="25">
                  <c:v>Мебельная Компания №1 Итог</c:v>
                </c:pt>
                <c:pt idx="26">
                  <c:v>Медовая Лавка Итог</c:v>
                </c:pt>
                <c:pt idx="27">
                  <c:v>Мясной Двор Итог</c:v>
                </c:pt>
                <c:pt idx="28">
                  <c:v>Нейл Артизанс Итог</c:v>
                </c:pt>
                <c:pt idx="29">
                  <c:v>Нейл Кутюр Итог</c:v>
                </c:pt>
                <c:pt idx="30">
                  <c:v>Нейл Кутюр Мастер Итог</c:v>
                </c:pt>
                <c:pt idx="31">
                  <c:v>Нолл Итог</c:v>
                </c:pt>
                <c:pt idx="32">
                  <c:v>Нолл Дизайн Итог</c:v>
                </c:pt>
                <c:pt idx="33">
                  <c:v>Овощной Рай Итог</c:v>
                </c:pt>
                <c:pt idx="34">
                  <c:v>Перец-Чили Итог</c:v>
                </c:pt>
                <c:pt idx="35">
                  <c:v>Птицефабрика Итог</c:v>
                </c:pt>
                <c:pt idx="36">
                  <c:v>Рыбный Цех Итог</c:v>
                </c:pt>
                <c:pt idx="37">
                  <c:v>Снежное Лакомство Итог</c:v>
                </c:pt>
                <c:pt idx="38">
                  <c:v>Собачья Радость Итог</c:v>
                </c:pt>
                <c:pt idx="39">
                  <c:v>Соковый Завод Итог</c:v>
                </c:pt>
                <c:pt idx="40">
                  <c:v>Фёрничер Ко Итог</c:v>
                </c:pt>
                <c:pt idx="41">
                  <c:v>Фруктовый Мир Итог</c:v>
                </c:pt>
                <c:pt idx="42">
                  <c:v>Шанель Итог</c:v>
                </c:pt>
                <c:pt idx="43">
                  <c:v>Шанель (Париж) Итог</c:v>
                </c:pt>
                <c:pt idx="44">
                  <c:v>Шик Косметикс Итог</c:v>
                </c:pt>
                <c:pt idx="45">
                  <c:v>Шик Косметикс Люкс Итог</c:v>
                </c:pt>
                <c:pt idx="46">
                  <c:v>Шик Лайн Итог</c:v>
                </c:pt>
                <c:pt idx="47">
                  <c:v>Эппл Итог</c:v>
                </c:pt>
                <c:pt idx="48">
                  <c:v>Эссенс Косметикс Итог</c:v>
                </c:pt>
                <c:pt idx="49">
                  <c:v>Эссенс Про Итог</c:v>
                </c:pt>
              </c:strCache>
            </c:strRef>
          </c:cat>
          <c:val>
            <c:numRef>
              <c:f>Лист6!$F$2:$F$101</c:f>
              <c:numCache>
                <c:formatCode>General</c:formatCode>
                <c:ptCount val="50"/>
                <c:pt idx="0">
                  <c:v>56</c:v>
                </c:pt>
                <c:pt idx="1">
                  <c:v>38</c:v>
                </c:pt>
                <c:pt idx="2">
                  <c:v>27</c:v>
                </c:pt>
                <c:pt idx="3">
                  <c:v>12</c:v>
                </c:pt>
                <c:pt idx="4">
                  <c:v>102</c:v>
                </c:pt>
                <c:pt idx="5">
                  <c:v>3</c:v>
                </c:pt>
                <c:pt idx="6">
                  <c:v>0</c:v>
                </c:pt>
                <c:pt idx="7">
                  <c:v>47</c:v>
                </c:pt>
                <c:pt idx="8">
                  <c:v>71</c:v>
                </c:pt>
                <c:pt idx="9">
                  <c:v>33</c:v>
                </c:pt>
                <c:pt idx="10">
                  <c:v>28</c:v>
                </c:pt>
                <c:pt idx="11">
                  <c:v>16</c:v>
                </c:pt>
                <c:pt idx="12">
                  <c:v>19</c:v>
                </c:pt>
                <c:pt idx="13">
                  <c:v>41</c:v>
                </c:pt>
                <c:pt idx="14">
                  <c:v>82</c:v>
                </c:pt>
                <c:pt idx="15">
                  <c:v>7</c:v>
                </c:pt>
                <c:pt idx="16">
                  <c:v>1</c:v>
                </c:pt>
                <c:pt idx="17">
                  <c:v>4</c:v>
                </c:pt>
                <c:pt idx="18">
                  <c:v>13</c:v>
                </c:pt>
                <c:pt idx="19">
                  <c:v>12</c:v>
                </c:pt>
                <c:pt idx="20">
                  <c:v>2</c:v>
                </c:pt>
                <c:pt idx="21">
                  <c:v>40</c:v>
                </c:pt>
                <c:pt idx="22">
                  <c:v>18</c:v>
                </c:pt>
                <c:pt idx="23">
                  <c:v>4</c:v>
                </c:pt>
                <c:pt idx="24">
                  <c:v>1</c:v>
                </c:pt>
                <c:pt idx="25">
                  <c:v>21</c:v>
                </c:pt>
                <c:pt idx="26">
                  <c:v>30</c:v>
                </c:pt>
                <c:pt idx="27">
                  <c:v>39</c:v>
                </c:pt>
                <c:pt idx="28">
                  <c:v>70</c:v>
                </c:pt>
                <c:pt idx="29">
                  <c:v>9</c:v>
                </c:pt>
                <c:pt idx="30">
                  <c:v>64</c:v>
                </c:pt>
                <c:pt idx="31">
                  <c:v>5</c:v>
                </c:pt>
                <c:pt idx="32">
                  <c:v>24</c:v>
                </c:pt>
                <c:pt idx="33">
                  <c:v>77</c:v>
                </c:pt>
                <c:pt idx="34">
                  <c:v>2</c:v>
                </c:pt>
                <c:pt idx="35">
                  <c:v>4</c:v>
                </c:pt>
                <c:pt idx="36">
                  <c:v>29</c:v>
                </c:pt>
                <c:pt idx="37">
                  <c:v>15</c:v>
                </c:pt>
                <c:pt idx="38">
                  <c:v>53</c:v>
                </c:pt>
                <c:pt idx="39">
                  <c:v>5</c:v>
                </c:pt>
                <c:pt idx="40">
                  <c:v>60</c:v>
                </c:pt>
                <c:pt idx="41">
                  <c:v>88</c:v>
                </c:pt>
                <c:pt idx="42">
                  <c:v>35</c:v>
                </c:pt>
                <c:pt idx="43">
                  <c:v>50</c:v>
                </c:pt>
                <c:pt idx="44">
                  <c:v>44</c:v>
                </c:pt>
                <c:pt idx="45">
                  <c:v>85</c:v>
                </c:pt>
                <c:pt idx="46">
                  <c:v>63</c:v>
                </c:pt>
                <c:pt idx="47">
                  <c:v>6</c:v>
                </c:pt>
                <c:pt idx="48">
                  <c:v>14</c:v>
                </c:pt>
                <c:pt idx="49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66-4FE6-8D42-6436A532DE09}"/>
            </c:ext>
          </c:extLst>
        </c:ser>
        <c:ser>
          <c:idx val="3"/>
          <c:order val="3"/>
          <c:tx>
            <c:strRef>
              <c:f>Лист6!$G$1</c:f>
              <c:strCache>
                <c:ptCount val="1"/>
                <c:pt idx="0">
                  <c:v>Доля экспорта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Лист6!$C$2:$C$101</c:f>
              <c:strCache>
                <c:ptCount val="50"/>
                <c:pt idx="0">
                  <c:v>Аннибале Коломбо Итог</c:v>
                </c:pt>
                <c:pt idx="1">
                  <c:v>Аннибале Коломбо (Люкс) Итог</c:v>
                </c:pt>
                <c:pt idx="2">
                  <c:v>Аннибале Коломбо (Мебель) Итог</c:v>
                </c:pt>
                <c:pt idx="3">
                  <c:v>Аннибале Коломбо (Стиль) Итог</c:v>
                </c:pt>
                <c:pt idx="4">
                  <c:v>Апекс Бьюти Итог</c:v>
                </c:pt>
                <c:pt idx="5">
                  <c:v>Бас Трендс Итог</c:v>
                </c:pt>
                <c:pt idx="6">
                  <c:v>Бас Трендс Дизайн Итог</c:v>
                </c:pt>
                <c:pt idx="7">
                  <c:v>Вельвет Воркс Итог</c:v>
                </c:pt>
                <c:pt idx="8">
                  <c:v>Вельвет Тач Итог</c:v>
                </c:pt>
                <c:pt idx="9">
                  <c:v>Вельвет Тач Групп Итог</c:v>
                </c:pt>
                <c:pt idx="10">
                  <c:v>Гламур Бьюти Итог</c:v>
                </c:pt>
                <c:pt idx="11">
                  <c:v>Гламур Бьюти Плюс Итог</c:v>
                </c:pt>
                <c:pt idx="12">
                  <c:v>Гуччи Итог</c:v>
                </c:pt>
                <c:pt idx="13">
                  <c:v>Гуччи (Италия) Итог</c:v>
                </c:pt>
                <c:pt idx="14">
                  <c:v>Диор Итог</c:v>
                </c:pt>
                <c:pt idx="15">
                  <c:v>Диор (Франция) Итог</c:v>
                </c:pt>
                <c:pt idx="16">
                  <c:v>Дольче и Габбана Итог</c:v>
                </c:pt>
                <c:pt idx="17">
                  <c:v>Дольче и Габбана (Милан) Итог</c:v>
                </c:pt>
                <c:pt idx="18">
                  <c:v>Зеленый Сад Итог</c:v>
                </c:pt>
                <c:pt idx="19">
                  <c:v>Кельвин Кляйн Итог</c:v>
                </c:pt>
                <c:pt idx="20">
                  <c:v>Кельвин Кляйн (Парфюм) Итог</c:v>
                </c:pt>
                <c:pt idx="21">
                  <c:v>Кошачий Корм Итог</c:v>
                </c:pt>
                <c:pt idx="22">
                  <c:v>Куриная Ферма Итог</c:v>
                </c:pt>
                <c:pt idx="23">
                  <c:v>Луна Косметикс Итог</c:v>
                </c:pt>
                <c:pt idx="24">
                  <c:v>МаслоПром Итог</c:v>
                </c:pt>
                <c:pt idx="25">
                  <c:v>Мебельная Компания №1 Итог</c:v>
                </c:pt>
                <c:pt idx="26">
                  <c:v>Медовая Лавка Итог</c:v>
                </c:pt>
                <c:pt idx="27">
                  <c:v>Мясной Двор Итог</c:v>
                </c:pt>
                <c:pt idx="28">
                  <c:v>Нейл Артизанс Итог</c:v>
                </c:pt>
                <c:pt idx="29">
                  <c:v>Нейл Кутюр Итог</c:v>
                </c:pt>
                <c:pt idx="30">
                  <c:v>Нейл Кутюр Мастер Итог</c:v>
                </c:pt>
                <c:pt idx="31">
                  <c:v>Нолл Итог</c:v>
                </c:pt>
                <c:pt idx="32">
                  <c:v>Нолл Дизайн Итог</c:v>
                </c:pt>
                <c:pt idx="33">
                  <c:v>Овощной Рай Итог</c:v>
                </c:pt>
                <c:pt idx="34">
                  <c:v>Перец-Чили Итог</c:v>
                </c:pt>
                <c:pt idx="35">
                  <c:v>Птицефабрика Итог</c:v>
                </c:pt>
                <c:pt idx="36">
                  <c:v>Рыбный Цех Итог</c:v>
                </c:pt>
                <c:pt idx="37">
                  <c:v>Снежное Лакомство Итог</c:v>
                </c:pt>
                <c:pt idx="38">
                  <c:v>Собачья Радость Итог</c:v>
                </c:pt>
                <c:pt idx="39">
                  <c:v>Соковый Завод Итог</c:v>
                </c:pt>
                <c:pt idx="40">
                  <c:v>Фёрничер Ко Итог</c:v>
                </c:pt>
                <c:pt idx="41">
                  <c:v>Фруктовый Мир Итог</c:v>
                </c:pt>
                <c:pt idx="42">
                  <c:v>Шанель Итог</c:v>
                </c:pt>
                <c:pt idx="43">
                  <c:v>Шанель (Париж) Итог</c:v>
                </c:pt>
                <c:pt idx="44">
                  <c:v>Шик Косметикс Итог</c:v>
                </c:pt>
                <c:pt idx="45">
                  <c:v>Шик Косметикс Люкс Итог</c:v>
                </c:pt>
                <c:pt idx="46">
                  <c:v>Шик Лайн Итог</c:v>
                </c:pt>
                <c:pt idx="47">
                  <c:v>Эппл Итог</c:v>
                </c:pt>
                <c:pt idx="48">
                  <c:v>Эссенс Косметикс Итог</c:v>
                </c:pt>
                <c:pt idx="49">
                  <c:v>Эссенс Про Итог</c:v>
                </c:pt>
              </c:strCache>
            </c:strRef>
          </c:cat>
          <c:val>
            <c:numRef>
              <c:f>Лист6!$G$2:$G$101</c:f>
              <c:numCache>
                <c:formatCode>0%</c:formatCode>
                <c:ptCount val="50"/>
                <c:pt idx="0">
                  <c:v>0.63636363636363635</c:v>
                </c:pt>
                <c:pt idx="1">
                  <c:v>0.6333333333333333</c:v>
                </c:pt>
                <c:pt idx="2">
                  <c:v>0.45</c:v>
                </c:pt>
                <c:pt idx="3">
                  <c:v>0.13636363636363635</c:v>
                </c:pt>
                <c:pt idx="4">
                  <c:v>0.85</c:v>
                </c:pt>
                <c:pt idx="5">
                  <c:v>0.42857142857142855</c:v>
                </c:pt>
                <c:pt idx="6">
                  <c:v>0</c:v>
                </c:pt>
                <c:pt idx="7">
                  <c:v>0.49473684210526314</c:v>
                </c:pt>
                <c:pt idx="8">
                  <c:v>0.797752808988764</c:v>
                </c:pt>
                <c:pt idx="9">
                  <c:v>0.3707865168539326</c:v>
                </c:pt>
                <c:pt idx="10">
                  <c:v>0.82352941176470584</c:v>
                </c:pt>
                <c:pt idx="11">
                  <c:v>0.47058823529411764</c:v>
                </c:pt>
                <c:pt idx="12">
                  <c:v>0.2087912087912088</c:v>
                </c:pt>
                <c:pt idx="13">
                  <c:v>0.45054945054945056</c:v>
                </c:pt>
                <c:pt idx="14">
                  <c:v>0.83673469387755106</c:v>
                </c:pt>
                <c:pt idx="15">
                  <c:v>7.1428571428571425E-2</c:v>
                </c:pt>
                <c:pt idx="16">
                  <c:v>0.25</c:v>
                </c:pt>
                <c:pt idx="17">
                  <c:v>1</c:v>
                </c:pt>
                <c:pt idx="18">
                  <c:v>0.39393939393939392</c:v>
                </c:pt>
                <c:pt idx="19">
                  <c:v>0.41379310344827586</c:v>
                </c:pt>
                <c:pt idx="20">
                  <c:v>6.8965517241379309E-2</c:v>
                </c:pt>
                <c:pt idx="21">
                  <c:v>0.86956521739130432</c:v>
                </c:pt>
                <c:pt idx="22">
                  <c:v>0.18556701030927836</c:v>
                </c:pt>
                <c:pt idx="23">
                  <c:v>0.11764705882352941</c:v>
                </c:pt>
                <c:pt idx="24">
                  <c:v>0.1</c:v>
                </c:pt>
                <c:pt idx="25">
                  <c:v>0.328125</c:v>
                </c:pt>
                <c:pt idx="26">
                  <c:v>0.88235294117647056</c:v>
                </c:pt>
                <c:pt idx="27">
                  <c:v>0.45348837209302323</c:v>
                </c:pt>
                <c:pt idx="28">
                  <c:v>0.88607594936708856</c:v>
                </c:pt>
                <c:pt idx="29">
                  <c:v>0.11392405063291139</c:v>
                </c:pt>
                <c:pt idx="30">
                  <c:v>0.810126582278481</c:v>
                </c:pt>
                <c:pt idx="31">
                  <c:v>0.19230769230769232</c:v>
                </c:pt>
                <c:pt idx="32">
                  <c:v>0.92307692307692313</c:v>
                </c:pt>
                <c:pt idx="33">
                  <c:v>0.91666666666666663</c:v>
                </c:pt>
                <c:pt idx="34">
                  <c:v>0.66666666666666663</c:v>
                </c:pt>
                <c:pt idx="35">
                  <c:v>0.44444444444444442</c:v>
                </c:pt>
                <c:pt idx="36">
                  <c:v>0.39189189189189189</c:v>
                </c:pt>
                <c:pt idx="37">
                  <c:v>0.55555555555555558</c:v>
                </c:pt>
                <c:pt idx="38">
                  <c:v>0.74647887323943662</c:v>
                </c:pt>
                <c:pt idx="39">
                  <c:v>0.1</c:v>
                </c:pt>
                <c:pt idx="40">
                  <c:v>0.9375</c:v>
                </c:pt>
                <c:pt idx="41">
                  <c:v>0.88888888888888884</c:v>
                </c:pt>
                <c:pt idx="42">
                  <c:v>0.60344827586206895</c:v>
                </c:pt>
                <c:pt idx="43">
                  <c:v>0.86206896551724133</c:v>
                </c:pt>
                <c:pt idx="44">
                  <c:v>0.48351648351648352</c:v>
                </c:pt>
                <c:pt idx="45">
                  <c:v>0.93406593406593408</c:v>
                </c:pt>
                <c:pt idx="46">
                  <c:v>0.71590909090909094</c:v>
                </c:pt>
                <c:pt idx="47">
                  <c:v>0.75</c:v>
                </c:pt>
                <c:pt idx="48">
                  <c:v>0.14141414141414141</c:v>
                </c:pt>
                <c:pt idx="49">
                  <c:v>0.91919191919191923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966-4FE6-8D42-6436A532D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56152384"/>
        <c:axId val="1553827360"/>
      </c:barChart>
      <c:catAx>
        <c:axId val="16561523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3827360"/>
        <c:crosses val="autoZero"/>
        <c:auto val="1"/>
        <c:lblAlgn val="ctr"/>
        <c:lblOffset val="100"/>
        <c:noMultiLvlLbl val="0"/>
      </c:catAx>
      <c:valAx>
        <c:axId val="155382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56152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566813</xdr:colOff>
      <xdr:row>103</xdr:row>
      <xdr:rowOff>156503</xdr:rowOff>
    </xdr:from>
    <xdr:to>
      <xdr:col>13</xdr:col>
      <xdr:colOff>309563</xdr:colOff>
      <xdr:row>147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268B89F-E9B6-4602-A9CC-CF1BA672DB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230F85-3EA1-4D11-8AB2-C7DF312E5433}" name="dataPos1" displayName="dataPos1" ref="A1:F16" totalsRowShown="0">
  <autoFilter ref="A1:F16" xr:uid="{4BE3E086-BAEB-4D47-9F2E-B764AEDF9DA3}"/>
  <tableColumns count="6">
    <tableColumn id="1" xr3:uid="{5CF4B04C-3C72-4D23-9F7C-CB1DDECC4929}" name="ID"/>
    <tableColumn id="2" xr3:uid="{3CDF9FFA-68D4-40CF-8393-9A8530FA27C1}" name=" Date" dataDxfId="2"/>
    <tableColumn id="3" xr3:uid="{7417B602-6CAB-4523-A764-9327B6D9FE7C}" name=" Name of the company" dataDxfId="1"/>
    <tableColumn id="4" xr3:uid="{01E49EBD-97C0-4AEC-965B-FED5D9804F2F}" name=" Name of the product" dataDxfId="0"/>
    <tableColumn id="5" xr3:uid="{25E405EB-ED9A-43E7-BBD0-D6FF901020BA}" name=" Produced, mln r"/>
    <tableColumn id="6" xr3:uid="{E0D5A66C-F44D-404B-9944-A23C2E201755}" name=" Including export, mln r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E7522-06C7-4C63-99EC-33B594461E2D}">
  <dimension ref="A1:F16"/>
  <sheetViews>
    <sheetView workbookViewId="0">
      <selection activeCell="J11" sqref="J11"/>
    </sheetView>
  </sheetViews>
  <sheetFormatPr defaultRowHeight="14.4" x14ac:dyDescent="0.3"/>
  <cols>
    <col min="1" max="1" width="5" bestFit="1" customWidth="1"/>
    <col min="2" max="2" width="10.109375" bestFit="1" customWidth="1"/>
    <col min="3" max="3" width="22.6640625" bestFit="1" customWidth="1"/>
    <col min="4" max="4" width="36.33203125" bestFit="1" customWidth="1"/>
    <col min="5" max="5" width="17.21875" bestFit="1" customWidth="1"/>
    <col min="6" max="6" width="22.8867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 s="5">
        <v>43101</v>
      </c>
      <c r="C2" s="6" t="s">
        <v>6</v>
      </c>
      <c r="D2" s="6" t="s">
        <v>7</v>
      </c>
      <c r="E2">
        <v>99</v>
      </c>
      <c r="F2">
        <v>0</v>
      </c>
    </row>
    <row r="3" spans="1:6" x14ac:dyDescent="0.3">
      <c r="A3">
        <v>2</v>
      </c>
      <c r="B3" s="5">
        <v>43504</v>
      </c>
      <c r="C3" s="6" t="s">
        <v>8</v>
      </c>
      <c r="D3" s="6" t="s">
        <v>9</v>
      </c>
      <c r="E3">
        <v>34</v>
      </c>
      <c r="F3">
        <v>0</v>
      </c>
    </row>
    <row r="4" spans="1:6" x14ac:dyDescent="0.3">
      <c r="A4">
        <v>3</v>
      </c>
      <c r="B4" s="5">
        <v>43905</v>
      </c>
      <c r="C4" s="6" t="s">
        <v>10</v>
      </c>
      <c r="D4" s="6" t="s">
        <v>11</v>
      </c>
      <c r="E4">
        <v>89</v>
      </c>
      <c r="F4">
        <v>0</v>
      </c>
    </row>
    <row r="5" spans="1:6" x14ac:dyDescent="0.3">
      <c r="A5">
        <v>4</v>
      </c>
      <c r="B5" s="5">
        <v>44308</v>
      </c>
      <c r="C5" s="6" t="s">
        <v>12</v>
      </c>
      <c r="D5" s="6" t="s">
        <v>13</v>
      </c>
      <c r="E5">
        <v>91</v>
      </c>
      <c r="F5">
        <v>0</v>
      </c>
    </row>
    <row r="6" spans="1:6" x14ac:dyDescent="0.3">
      <c r="A6">
        <v>5</v>
      </c>
      <c r="B6" s="5">
        <v>44682</v>
      </c>
      <c r="C6" s="6" t="s">
        <v>14</v>
      </c>
      <c r="D6" s="6" t="s">
        <v>15</v>
      </c>
      <c r="E6">
        <v>79</v>
      </c>
      <c r="F6">
        <v>0</v>
      </c>
    </row>
    <row r="7" spans="1:6" x14ac:dyDescent="0.3">
      <c r="A7">
        <v>6</v>
      </c>
      <c r="B7" s="5">
        <v>45085</v>
      </c>
      <c r="C7" s="6" t="s">
        <v>16</v>
      </c>
      <c r="D7" s="6" t="s">
        <v>17</v>
      </c>
      <c r="E7">
        <v>29</v>
      </c>
      <c r="F7">
        <v>0</v>
      </c>
    </row>
    <row r="8" spans="1:6" x14ac:dyDescent="0.3">
      <c r="A8">
        <v>7</v>
      </c>
      <c r="B8" s="5">
        <v>45488</v>
      </c>
      <c r="C8" s="6" t="s">
        <v>18</v>
      </c>
      <c r="D8" s="6" t="s">
        <v>19</v>
      </c>
      <c r="E8">
        <v>58</v>
      </c>
      <c r="F8">
        <v>0</v>
      </c>
    </row>
    <row r="9" spans="1:6" x14ac:dyDescent="0.3">
      <c r="A9">
        <v>8</v>
      </c>
      <c r="B9" s="5">
        <v>45891</v>
      </c>
      <c r="C9" s="6" t="s">
        <v>20</v>
      </c>
      <c r="D9" s="6" t="s">
        <v>21</v>
      </c>
      <c r="E9">
        <v>98</v>
      </c>
      <c r="F9">
        <v>0</v>
      </c>
    </row>
    <row r="10" spans="1:6" x14ac:dyDescent="0.3">
      <c r="A10">
        <v>9</v>
      </c>
      <c r="B10" s="5">
        <v>43344</v>
      </c>
      <c r="C10" s="6" t="s">
        <v>22</v>
      </c>
      <c r="D10" s="6" t="s">
        <v>23</v>
      </c>
      <c r="E10">
        <v>4</v>
      </c>
      <c r="F10">
        <v>0</v>
      </c>
    </row>
    <row r="11" spans="1:6" x14ac:dyDescent="0.3">
      <c r="A11">
        <v>10</v>
      </c>
      <c r="B11" s="5">
        <v>43746</v>
      </c>
      <c r="C11" s="6" t="s">
        <v>24</v>
      </c>
      <c r="D11" s="6" t="s">
        <v>25</v>
      </c>
      <c r="E11">
        <v>91</v>
      </c>
      <c r="F11">
        <v>0</v>
      </c>
    </row>
    <row r="12" spans="1:6" x14ac:dyDescent="0.3">
      <c r="A12">
        <v>11</v>
      </c>
      <c r="B12" s="5">
        <v>44150</v>
      </c>
      <c r="C12" s="6" t="s">
        <v>26</v>
      </c>
      <c r="D12" s="6" t="s">
        <v>27</v>
      </c>
      <c r="E12">
        <v>88</v>
      </c>
      <c r="F12">
        <v>0</v>
      </c>
    </row>
    <row r="13" spans="1:6" x14ac:dyDescent="0.3">
      <c r="A13">
        <v>12</v>
      </c>
      <c r="B13" s="5">
        <v>44552</v>
      </c>
      <c r="C13" s="6" t="s">
        <v>26</v>
      </c>
      <c r="D13" s="6" t="s">
        <v>28</v>
      </c>
      <c r="E13">
        <v>60</v>
      </c>
      <c r="F13">
        <v>0</v>
      </c>
    </row>
    <row r="14" spans="1:6" x14ac:dyDescent="0.3">
      <c r="A14">
        <v>13</v>
      </c>
      <c r="B14" s="5">
        <v>44562</v>
      </c>
      <c r="C14" s="6" t="s">
        <v>29</v>
      </c>
      <c r="D14" s="6" t="s">
        <v>30</v>
      </c>
      <c r="E14">
        <v>64</v>
      </c>
      <c r="F14">
        <v>0</v>
      </c>
    </row>
    <row r="15" spans="1:6" x14ac:dyDescent="0.3">
      <c r="A15">
        <v>14</v>
      </c>
      <c r="B15" s="5">
        <v>44965</v>
      </c>
      <c r="C15" s="6" t="s">
        <v>31</v>
      </c>
      <c r="D15" s="6" t="s">
        <v>32</v>
      </c>
      <c r="E15">
        <v>26</v>
      </c>
      <c r="F15">
        <v>0</v>
      </c>
    </row>
    <row r="16" spans="1:6" x14ac:dyDescent="0.3">
      <c r="A16">
        <v>15</v>
      </c>
      <c r="B16" s="5">
        <v>45366</v>
      </c>
      <c r="C16" s="6" t="s">
        <v>33</v>
      </c>
      <c r="D16" s="6" t="s">
        <v>34</v>
      </c>
      <c r="E16">
        <v>7</v>
      </c>
      <c r="F16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37557-38FB-4B20-82A1-EBD87F45D093}">
  <dimension ref="A1:G102"/>
  <sheetViews>
    <sheetView tabSelected="1" topLeftCell="C19" zoomScale="57" workbookViewId="0">
      <selection activeCell="S104" sqref="S104"/>
    </sheetView>
  </sheetViews>
  <sheetFormatPr defaultRowHeight="14.4" outlineLevelRow="2" x14ac:dyDescent="0.3"/>
  <cols>
    <col min="1" max="1" width="5" bestFit="1" customWidth="1"/>
    <col min="2" max="2" width="10.109375" bestFit="1" customWidth="1"/>
    <col min="3" max="3" width="26.5546875" bestFit="1" customWidth="1"/>
    <col min="4" max="4" width="34.77734375" bestFit="1" customWidth="1"/>
    <col min="5" max="5" width="21.88671875" bestFit="1" customWidth="1"/>
    <col min="6" max="6" width="17.109375" bestFit="1" customWidth="1"/>
    <col min="7" max="7" width="16.109375" bestFit="1" customWidth="1"/>
  </cols>
  <sheetData>
    <row r="1" spans="1:7" x14ac:dyDescent="0.3">
      <c r="A1" t="s">
        <v>0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141</v>
      </c>
    </row>
    <row r="2" spans="1:7" hidden="1" outlineLevel="2" x14ac:dyDescent="0.3">
      <c r="A2">
        <v>11</v>
      </c>
      <c r="B2" s="5">
        <v>44150</v>
      </c>
      <c r="C2" s="6" t="s">
        <v>61</v>
      </c>
      <c r="D2" s="6" t="s">
        <v>62</v>
      </c>
      <c r="E2">
        <v>88</v>
      </c>
      <c r="F2">
        <v>56</v>
      </c>
      <c r="G2" s="20">
        <f>Лист6!$F2/Лист6!$E2</f>
        <v>0.63636363636363635</v>
      </c>
    </row>
    <row r="3" spans="1:7" outlineLevel="1" collapsed="1" x14ac:dyDescent="0.3">
      <c r="B3" s="5"/>
      <c r="C3" s="21" t="s">
        <v>142</v>
      </c>
      <c r="D3" s="6"/>
      <c r="E3">
        <f>SUBTOTAL(9,E2:E2)</f>
        <v>88</v>
      </c>
      <c r="F3">
        <f>SUBTOTAL(9,F2:F2)</f>
        <v>56</v>
      </c>
      <c r="G3" s="20">
        <f>Лист6!$F3/Лист6!$E3</f>
        <v>0.63636363636363635</v>
      </c>
    </row>
    <row r="4" spans="1:7" hidden="1" outlineLevel="2" x14ac:dyDescent="0.3">
      <c r="A4">
        <v>27</v>
      </c>
      <c r="B4" s="5">
        <v>44552</v>
      </c>
      <c r="C4" s="6" t="s">
        <v>93</v>
      </c>
      <c r="D4" s="6" t="s">
        <v>94</v>
      </c>
      <c r="E4">
        <v>60</v>
      </c>
      <c r="F4">
        <v>38</v>
      </c>
      <c r="G4" s="20">
        <f>Лист6!$F4/Лист6!$E4</f>
        <v>0.6333333333333333</v>
      </c>
    </row>
    <row r="5" spans="1:7" outlineLevel="1" collapsed="1" x14ac:dyDescent="0.3">
      <c r="B5" s="5"/>
      <c r="C5" s="21" t="s">
        <v>143</v>
      </c>
      <c r="D5" s="6"/>
      <c r="E5">
        <f>SUBTOTAL(9,E4:E4)</f>
        <v>60</v>
      </c>
      <c r="F5">
        <f>SUBTOTAL(9,F4:F4)</f>
        <v>38</v>
      </c>
      <c r="G5" s="20">
        <f>Лист6!$F5/Лист6!$E5</f>
        <v>0.6333333333333333</v>
      </c>
    </row>
    <row r="6" spans="1:7" hidden="1" outlineLevel="2" x14ac:dyDescent="0.3">
      <c r="A6">
        <v>12</v>
      </c>
      <c r="B6" s="5">
        <v>44552</v>
      </c>
      <c r="C6" s="6" t="s">
        <v>63</v>
      </c>
      <c r="D6" s="6" t="s">
        <v>64</v>
      </c>
      <c r="E6">
        <v>60</v>
      </c>
      <c r="F6">
        <v>27</v>
      </c>
      <c r="G6" s="20">
        <f>Лист6!$F6/Лист6!$E6</f>
        <v>0.45</v>
      </c>
    </row>
    <row r="7" spans="1:7" outlineLevel="1" collapsed="1" x14ac:dyDescent="0.3">
      <c r="B7" s="5"/>
      <c r="C7" s="21" t="s">
        <v>144</v>
      </c>
      <c r="D7" s="6"/>
      <c r="E7">
        <f>SUBTOTAL(9,E6:E6)</f>
        <v>60</v>
      </c>
      <c r="F7">
        <f>SUBTOTAL(9,F6:F6)</f>
        <v>27</v>
      </c>
      <c r="G7" s="20">
        <f>Лист6!$F7/Лист6!$E7</f>
        <v>0.45</v>
      </c>
    </row>
    <row r="8" spans="1:7" hidden="1" outlineLevel="2" x14ac:dyDescent="0.3">
      <c r="A8">
        <v>26</v>
      </c>
      <c r="B8" s="5">
        <v>44150</v>
      </c>
      <c r="C8" s="6" t="s">
        <v>91</v>
      </c>
      <c r="D8" s="6" t="s">
        <v>92</v>
      </c>
      <c r="E8">
        <v>88</v>
      </c>
      <c r="F8">
        <v>12</v>
      </c>
      <c r="G8" s="20">
        <f>Лист6!$F8/Лист6!$E8</f>
        <v>0.13636363636363635</v>
      </c>
    </row>
    <row r="9" spans="1:7" outlineLevel="1" collapsed="1" x14ac:dyDescent="0.3">
      <c r="B9" s="5"/>
      <c r="C9" s="21" t="s">
        <v>145</v>
      </c>
      <c r="D9" s="6"/>
      <c r="E9">
        <f>SUBTOTAL(9,E8:E8)</f>
        <v>88</v>
      </c>
      <c r="F9">
        <f>SUBTOTAL(9,F8:F8)</f>
        <v>12</v>
      </c>
      <c r="G9" s="20">
        <f>Лист6!$F9/Лист6!$E9</f>
        <v>0.13636363636363635</v>
      </c>
    </row>
    <row r="10" spans="1:7" hidden="1" outlineLevel="2" x14ac:dyDescent="0.3">
      <c r="A10">
        <v>46</v>
      </c>
      <c r="B10" s="5">
        <v>45488</v>
      </c>
      <c r="C10" s="6" t="s">
        <v>131</v>
      </c>
      <c r="D10" s="6" t="s">
        <v>132</v>
      </c>
      <c r="E10">
        <v>120</v>
      </c>
      <c r="F10">
        <v>102</v>
      </c>
      <c r="G10" s="20">
        <f>Лист6!$F10/Лист6!$E10</f>
        <v>0.85</v>
      </c>
    </row>
    <row r="11" spans="1:7" outlineLevel="1" collapsed="1" x14ac:dyDescent="0.3">
      <c r="B11" s="5"/>
      <c r="C11" s="21" t="s">
        <v>146</v>
      </c>
      <c r="D11" s="6"/>
      <c r="E11">
        <f>SUBTOTAL(9,E10:E10)</f>
        <v>120</v>
      </c>
      <c r="F11">
        <f>SUBTOTAL(9,F10:F10)</f>
        <v>102</v>
      </c>
      <c r="G11" s="20">
        <f>Лист6!$F11/Лист6!$E11</f>
        <v>0.85</v>
      </c>
    </row>
    <row r="12" spans="1:7" hidden="1" outlineLevel="2" x14ac:dyDescent="0.3">
      <c r="A12">
        <v>15</v>
      </c>
      <c r="B12" s="5">
        <v>45366</v>
      </c>
      <c r="C12" s="6" t="s">
        <v>69</v>
      </c>
      <c r="D12" s="6" t="s">
        <v>70</v>
      </c>
      <c r="E12">
        <v>7</v>
      </c>
      <c r="F12">
        <v>3</v>
      </c>
      <c r="G12" s="20">
        <f>Лист6!$F12/Лист6!$E12</f>
        <v>0.42857142857142855</v>
      </c>
    </row>
    <row r="13" spans="1:7" outlineLevel="1" collapsed="1" x14ac:dyDescent="0.3">
      <c r="B13" s="5"/>
      <c r="C13" s="21" t="s">
        <v>147</v>
      </c>
      <c r="D13" s="6"/>
      <c r="E13">
        <f>SUBTOTAL(9,E12:E12)</f>
        <v>7</v>
      </c>
      <c r="F13">
        <f>SUBTOTAL(9,F12:F12)</f>
        <v>3</v>
      </c>
      <c r="G13" s="20">
        <f>Лист6!$F13/Лист6!$E13</f>
        <v>0.42857142857142855</v>
      </c>
    </row>
    <row r="14" spans="1:7" hidden="1" outlineLevel="2" x14ac:dyDescent="0.3">
      <c r="A14">
        <v>30</v>
      </c>
      <c r="B14" s="5">
        <v>45366</v>
      </c>
      <c r="C14" s="6" t="s">
        <v>99</v>
      </c>
      <c r="D14" s="6" t="s">
        <v>100</v>
      </c>
      <c r="E14">
        <v>7</v>
      </c>
      <c r="F14">
        <v>0</v>
      </c>
      <c r="G14" s="20">
        <f>Лист6!$F14/Лист6!$E14</f>
        <v>0</v>
      </c>
    </row>
    <row r="15" spans="1:7" outlineLevel="1" collapsed="1" x14ac:dyDescent="0.3">
      <c r="B15" s="5"/>
      <c r="C15" s="21" t="s">
        <v>148</v>
      </c>
      <c r="D15" s="6"/>
      <c r="E15">
        <f>SUBTOTAL(9,E14:E14)</f>
        <v>7</v>
      </c>
      <c r="F15">
        <f>SUBTOTAL(9,F14:F14)</f>
        <v>0</v>
      </c>
      <c r="G15" s="20">
        <f>Лист6!$F15/Лист6!$E15</f>
        <v>0</v>
      </c>
    </row>
    <row r="16" spans="1:7" hidden="1" outlineLevel="2" x14ac:dyDescent="0.3">
      <c r="A16">
        <v>48</v>
      </c>
      <c r="B16" s="5">
        <v>43344</v>
      </c>
      <c r="C16" s="6" t="s">
        <v>135</v>
      </c>
      <c r="D16" s="6" t="s">
        <v>136</v>
      </c>
      <c r="E16">
        <v>95</v>
      </c>
      <c r="F16">
        <v>47</v>
      </c>
      <c r="G16" s="20">
        <f>Лист6!$F16/Лист6!$E16</f>
        <v>0.49473684210526314</v>
      </c>
    </row>
    <row r="17" spans="1:7" outlineLevel="1" collapsed="1" x14ac:dyDescent="0.3">
      <c r="B17" s="5"/>
      <c r="C17" s="21" t="s">
        <v>149</v>
      </c>
      <c r="D17" s="6"/>
      <c r="E17">
        <f>SUBTOTAL(9,E16:E16)</f>
        <v>95</v>
      </c>
      <c r="F17">
        <f>SUBTOTAL(9,F16:F16)</f>
        <v>47</v>
      </c>
      <c r="G17" s="20">
        <f>Лист6!$F17/Лист6!$E17</f>
        <v>0.49473684210526314</v>
      </c>
    </row>
    <row r="18" spans="1:7" hidden="1" outlineLevel="2" x14ac:dyDescent="0.3">
      <c r="A18">
        <v>3</v>
      </c>
      <c r="B18" s="5">
        <v>43905</v>
      </c>
      <c r="C18" s="6" t="s">
        <v>45</v>
      </c>
      <c r="D18" s="6" t="s">
        <v>46</v>
      </c>
      <c r="E18">
        <v>89</v>
      </c>
      <c r="F18">
        <v>71</v>
      </c>
      <c r="G18" s="20">
        <f>Лист6!$F18/Лист6!$E18</f>
        <v>0.797752808988764</v>
      </c>
    </row>
    <row r="19" spans="1:7" outlineLevel="1" collapsed="1" x14ac:dyDescent="0.3">
      <c r="B19" s="5"/>
      <c r="C19" s="21" t="s">
        <v>150</v>
      </c>
      <c r="D19" s="6"/>
      <c r="E19">
        <f>SUBTOTAL(9,E18:E18)</f>
        <v>89</v>
      </c>
      <c r="F19">
        <f>SUBTOTAL(9,F18:F18)</f>
        <v>71</v>
      </c>
      <c r="G19" s="20">
        <f>Лист6!$F19/Лист6!$E19</f>
        <v>0.797752808988764</v>
      </c>
    </row>
    <row r="20" spans="1:7" hidden="1" outlineLevel="2" x14ac:dyDescent="0.3">
      <c r="A20">
        <v>18</v>
      </c>
      <c r="B20" s="5">
        <v>43905</v>
      </c>
      <c r="C20" s="6" t="s">
        <v>75</v>
      </c>
      <c r="D20" s="6" t="s">
        <v>76</v>
      </c>
      <c r="E20">
        <v>89</v>
      </c>
      <c r="F20">
        <v>33</v>
      </c>
      <c r="G20" s="20">
        <f>Лист6!$F20/Лист6!$E20</f>
        <v>0.3707865168539326</v>
      </c>
    </row>
    <row r="21" spans="1:7" outlineLevel="1" collapsed="1" x14ac:dyDescent="0.3">
      <c r="B21" s="5"/>
      <c r="C21" s="21" t="s">
        <v>151</v>
      </c>
      <c r="D21" s="6"/>
      <c r="E21">
        <f>SUBTOTAL(9,E20:E20)</f>
        <v>89</v>
      </c>
      <c r="F21">
        <f>SUBTOTAL(9,F20:F20)</f>
        <v>33</v>
      </c>
      <c r="G21" s="20">
        <f>Лист6!$F21/Лист6!$E21</f>
        <v>0.3707865168539326</v>
      </c>
    </row>
    <row r="22" spans="1:7" hidden="1" outlineLevel="2" x14ac:dyDescent="0.3">
      <c r="A22">
        <v>2</v>
      </c>
      <c r="B22" s="5">
        <v>43504</v>
      </c>
      <c r="C22" s="6" t="s">
        <v>43</v>
      </c>
      <c r="D22" s="6" t="s">
        <v>44</v>
      </c>
      <c r="E22">
        <v>34</v>
      </c>
      <c r="F22">
        <v>28</v>
      </c>
      <c r="G22" s="20">
        <f>Лист6!$F22/Лист6!$E22</f>
        <v>0.82352941176470584</v>
      </c>
    </row>
    <row r="23" spans="1:7" outlineLevel="1" collapsed="1" x14ac:dyDescent="0.3">
      <c r="B23" s="5"/>
      <c r="C23" s="21" t="s">
        <v>152</v>
      </c>
      <c r="D23" s="6"/>
      <c r="E23">
        <f>SUBTOTAL(9,E22:E22)</f>
        <v>34</v>
      </c>
      <c r="F23">
        <f>SUBTOTAL(9,F22:F22)</f>
        <v>28</v>
      </c>
      <c r="G23" s="20">
        <f>Лист6!$F23/Лист6!$E23</f>
        <v>0.82352941176470584</v>
      </c>
    </row>
    <row r="24" spans="1:7" hidden="1" outlineLevel="2" x14ac:dyDescent="0.3">
      <c r="A24">
        <v>17</v>
      </c>
      <c r="B24" s="5">
        <v>43504</v>
      </c>
      <c r="C24" s="6" t="s">
        <v>73</v>
      </c>
      <c r="D24" s="6" t="s">
        <v>74</v>
      </c>
      <c r="E24">
        <v>34</v>
      </c>
      <c r="F24">
        <v>16</v>
      </c>
      <c r="G24" s="20">
        <f>Лист6!$F24/Лист6!$E24</f>
        <v>0.47058823529411764</v>
      </c>
    </row>
    <row r="25" spans="1:7" outlineLevel="1" collapsed="1" x14ac:dyDescent="0.3">
      <c r="B25" s="5"/>
      <c r="C25" s="21" t="s">
        <v>153</v>
      </c>
      <c r="D25" s="6"/>
      <c r="E25">
        <f>SUBTOTAL(9,E24:E24)</f>
        <v>34</v>
      </c>
      <c r="F25">
        <f>SUBTOTAL(9,F24:F24)</f>
        <v>16</v>
      </c>
      <c r="G25" s="20">
        <f>Лист6!$F25/Лист6!$E25</f>
        <v>0.47058823529411764</v>
      </c>
    </row>
    <row r="26" spans="1:7" hidden="1" outlineLevel="2" x14ac:dyDescent="0.3">
      <c r="A26">
        <v>10</v>
      </c>
      <c r="B26" s="5">
        <v>43746</v>
      </c>
      <c r="C26" s="6" t="s">
        <v>59</v>
      </c>
      <c r="D26" s="6" t="s">
        <v>60</v>
      </c>
      <c r="E26">
        <v>91</v>
      </c>
      <c r="F26">
        <v>19</v>
      </c>
      <c r="G26" s="20">
        <f>Лист6!$F26/Лист6!$E26</f>
        <v>0.2087912087912088</v>
      </c>
    </row>
    <row r="27" spans="1:7" outlineLevel="1" collapsed="1" x14ac:dyDescent="0.3">
      <c r="B27" s="5"/>
      <c r="C27" s="21" t="s">
        <v>154</v>
      </c>
      <c r="D27" s="6"/>
      <c r="E27">
        <f>SUBTOTAL(9,E26:E26)</f>
        <v>91</v>
      </c>
      <c r="F27">
        <f>SUBTOTAL(9,F26:F26)</f>
        <v>19</v>
      </c>
      <c r="G27" s="20">
        <f>Лист6!$F27/Лист6!$E27</f>
        <v>0.2087912087912088</v>
      </c>
    </row>
    <row r="28" spans="1:7" hidden="1" outlineLevel="2" x14ac:dyDescent="0.3">
      <c r="A28">
        <v>25</v>
      </c>
      <c r="B28" s="5">
        <v>43746</v>
      </c>
      <c r="C28" s="6" t="s">
        <v>89</v>
      </c>
      <c r="D28" s="6" t="s">
        <v>90</v>
      </c>
      <c r="E28">
        <v>91</v>
      </c>
      <c r="F28">
        <v>41</v>
      </c>
      <c r="G28" s="20">
        <f>Лист6!$F28/Лист6!$E28</f>
        <v>0.45054945054945056</v>
      </c>
    </row>
    <row r="29" spans="1:7" outlineLevel="1" collapsed="1" x14ac:dyDescent="0.3">
      <c r="B29" s="5"/>
      <c r="C29" s="21" t="s">
        <v>155</v>
      </c>
      <c r="D29" s="6"/>
      <c r="E29">
        <f>SUBTOTAL(9,E28:E28)</f>
        <v>91</v>
      </c>
      <c r="F29">
        <f>SUBTOTAL(9,F28:F28)</f>
        <v>41</v>
      </c>
      <c r="G29" s="20">
        <f>Лист6!$F29/Лист6!$E29</f>
        <v>0.45054945054945056</v>
      </c>
    </row>
    <row r="30" spans="1:7" hidden="1" outlineLevel="2" x14ac:dyDescent="0.3">
      <c r="A30">
        <v>8</v>
      </c>
      <c r="B30" s="5">
        <v>45891</v>
      </c>
      <c r="C30" s="6" t="s">
        <v>55</v>
      </c>
      <c r="D30" s="6" t="s">
        <v>56</v>
      </c>
      <c r="E30">
        <v>98</v>
      </c>
      <c r="F30">
        <v>82</v>
      </c>
      <c r="G30" s="20">
        <f>Лист6!$F30/Лист6!$E30</f>
        <v>0.83673469387755106</v>
      </c>
    </row>
    <row r="31" spans="1:7" outlineLevel="1" collapsed="1" x14ac:dyDescent="0.3">
      <c r="B31" s="5"/>
      <c r="C31" s="21" t="s">
        <v>156</v>
      </c>
      <c r="D31" s="6"/>
      <c r="E31">
        <f>SUBTOTAL(9,E30:E30)</f>
        <v>98</v>
      </c>
      <c r="F31">
        <f>SUBTOTAL(9,F30:F30)</f>
        <v>82</v>
      </c>
      <c r="G31" s="20">
        <f>Лист6!$F31/Лист6!$E31</f>
        <v>0.83673469387755106</v>
      </c>
    </row>
    <row r="32" spans="1:7" hidden="1" outlineLevel="2" x14ac:dyDescent="0.3">
      <c r="A32">
        <v>23</v>
      </c>
      <c r="B32" s="5">
        <v>45891</v>
      </c>
      <c r="C32" s="6" t="s">
        <v>85</v>
      </c>
      <c r="D32" s="6" t="s">
        <v>86</v>
      </c>
      <c r="E32">
        <v>98</v>
      </c>
      <c r="F32">
        <v>7</v>
      </c>
      <c r="G32" s="20">
        <f>Лист6!$F32/Лист6!$E32</f>
        <v>7.1428571428571425E-2</v>
      </c>
    </row>
    <row r="33" spans="1:7" outlineLevel="1" collapsed="1" x14ac:dyDescent="0.3">
      <c r="B33" s="5"/>
      <c r="C33" s="21" t="s">
        <v>157</v>
      </c>
      <c r="D33" s="6"/>
      <c r="E33">
        <f>SUBTOTAL(9,E32:E32)</f>
        <v>98</v>
      </c>
      <c r="F33">
        <f>SUBTOTAL(9,F32:F32)</f>
        <v>7</v>
      </c>
      <c r="G33" s="20">
        <f>Лист6!$F33/Лист6!$E33</f>
        <v>7.1428571428571425E-2</v>
      </c>
    </row>
    <row r="34" spans="1:7" hidden="1" outlineLevel="2" x14ac:dyDescent="0.3">
      <c r="A34">
        <v>9</v>
      </c>
      <c r="B34" s="5">
        <v>43344</v>
      </c>
      <c r="C34" s="6" t="s">
        <v>57</v>
      </c>
      <c r="D34" s="6" t="s">
        <v>58</v>
      </c>
      <c r="E34">
        <v>4</v>
      </c>
      <c r="F34">
        <v>1</v>
      </c>
      <c r="G34" s="20">
        <f>Лист6!$F34/Лист6!$E34</f>
        <v>0.25</v>
      </c>
    </row>
    <row r="35" spans="1:7" outlineLevel="1" collapsed="1" x14ac:dyDescent="0.3">
      <c r="B35" s="5"/>
      <c r="C35" s="21" t="s">
        <v>158</v>
      </c>
      <c r="D35" s="6"/>
      <c r="E35">
        <f>SUBTOTAL(9,E34:E34)</f>
        <v>4</v>
      </c>
      <c r="F35">
        <f>SUBTOTAL(9,F34:F34)</f>
        <v>1</v>
      </c>
      <c r="G35" s="20">
        <f>Лист6!$F35/Лист6!$E35</f>
        <v>0.25</v>
      </c>
    </row>
    <row r="36" spans="1:7" hidden="1" outlineLevel="2" x14ac:dyDescent="0.3">
      <c r="A36">
        <v>24</v>
      </c>
      <c r="B36" s="5">
        <v>43344</v>
      </c>
      <c r="C36" s="6" t="s">
        <v>87</v>
      </c>
      <c r="D36" s="6" t="s">
        <v>88</v>
      </c>
      <c r="E36">
        <v>4</v>
      </c>
      <c r="F36">
        <v>4</v>
      </c>
      <c r="G36" s="20">
        <f>Лист6!$F36/Лист6!$E36</f>
        <v>1</v>
      </c>
    </row>
    <row r="37" spans="1:7" outlineLevel="1" collapsed="1" x14ac:dyDescent="0.3">
      <c r="B37" s="5"/>
      <c r="C37" s="21" t="s">
        <v>159</v>
      </c>
      <c r="D37" s="6"/>
      <c r="E37">
        <f>SUBTOTAL(9,E36:E36)</f>
        <v>4</v>
      </c>
      <c r="F37">
        <f>SUBTOTAL(9,F36:F36)</f>
        <v>4</v>
      </c>
      <c r="G37" s="20">
        <f>Лист6!$F37/Лист6!$E37</f>
        <v>1</v>
      </c>
    </row>
    <row r="38" spans="1:7" hidden="1" outlineLevel="2" x14ac:dyDescent="0.3">
      <c r="A38">
        <v>40</v>
      </c>
      <c r="B38" s="5">
        <v>43101</v>
      </c>
      <c r="C38" s="6" t="s">
        <v>119</v>
      </c>
      <c r="D38" s="6" t="s">
        <v>120</v>
      </c>
      <c r="E38">
        <v>33</v>
      </c>
      <c r="F38">
        <v>13</v>
      </c>
      <c r="G38" s="20">
        <f>Лист6!$F38/Лист6!$E38</f>
        <v>0.39393939393939392</v>
      </c>
    </row>
    <row r="39" spans="1:7" outlineLevel="1" collapsed="1" x14ac:dyDescent="0.3">
      <c r="B39" s="5"/>
      <c r="C39" s="21" t="s">
        <v>160</v>
      </c>
      <c r="D39" s="6"/>
      <c r="E39">
        <f>SUBTOTAL(9,E38:E38)</f>
        <v>33</v>
      </c>
      <c r="F39">
        <f>SUBTOTAL(9,F38:F38)</f>
        <v>13</v>
      </c>
      <c r="G39" s="20">
        <f>Лист6!$F39/Лист6!$E39</f>
        <v>0.39393939393939392</v>
      </c>
    </row>
    <row r="40" spans="1:7" hidden="1" outlineLevel="2" x14ac:dyDescent="0.3">
      <c r="A40">
        <v>6</v>
      </c>
      <c r="B40" s="5">
        <v>45085</v>
      </c>
      <c r="C40" s="6" t="s">
        <v>51</v>
      </c>
      <c r="D40" s="6" t="s">
        <v>52</v>
      </c>
      <c r="E40">
        <v>29</v>
      </c>
      <c r="F40">
        <v>12</v>
      </c>
      <c r="G40" s="20">
        <f>Лист6!$F40/Лист6!$E40</f>
        <v>0.41379310344827586</v>
      </c>
    </row>
    <row r="41" spans="1:7" outlineLevel="1" collapsed="1" x14ac:dyDescent="0.3">
      <c r="B41" s="5"/>
      <c r="C41" s="21" t="s">
        <v>161</v>
      </c>
      <c r="D41" s="6"/>
      <c r="E41">
        <f>SUBTOTAL(9,E40:E40)</f>
        <v>29</v>
      </c>
      <c r="F41">
        <f>SUBTOTAL(9,F40:F40)</f>
        <v>12</v>
      </c>
      <c r="G41" s="20">
        <f>Лист6!$F41/Лист6!$E41</f>
        <v>0.41379310344827586</v>
      </c>
    </row>
    <row r="42" spans="1:7" hidden="1" outlineLevel="2" x14ac:dyDescent="0.3">
      <c r="A42">
        <v>21</v>
      </c>
      <c r="B42" s="5">
        <v>45085</v>
      </c>
      <c r="C42" s="6" t="s">
        <v>81</v>
      </c>
      <c r="D42" s="6" t="s">
        <v>82</v>
      </c>
      <c r="E42">
        <v>29</v>
      </c>
      <c r="F42">
        <v>2</v>
      </c>
      <c r="G42" s="20">
        <f>Лист6!$F42/Лист6!$E42</f>
        <v>6.8965517241379309E-2</v>
      </c>
    </row>
    <row r="43" spans="1:7" outlineLevel="1" collapsed="1" x14ac:dyDescent="0.3">
      <c r="B43" s="5"/>
      <c r="C43" s="21" t="s">
        <v>162</v>
      </c>
      <c r="D43" s="6"/>
      <c r="E43">
        <f>SUBTOTAL(9,E42:E42)</f>
        <v>29</v>
      </c>
      <c r="F43">
        <f>SUBTOTAL(9,F42:F42)</f>
        <v>2</v>
      </c>
      <c r="G43" s="20">
        <f>Лист6!$F43/Лист6!$E43</f>
        <v>6.8965517241379309E-2</v>
      </c>
    </row>
    <row r="44" spans="1:7" hidden="1" outlineLevel="2" x14ac:dyDescent="0.3">
      <c r="A44">
        <v>33</v>
      </c>
      <c r="B44" s="5">
        <v>43624</v>
      </c>
      <c r="C44" s="6" t="s">
        <v>105</v>
      </c>
      <c r="D44" s="6" t="s">
        <v>106</v>
      </c>
      <c r="E44">
        <v>46</v>
      </c>
      <c r="F44">
        <v>40</v>
      </c>
      <c r="G44" s="20">
        <f>Лист6!$F44/Лист6!$E44</f>
        <v>0.86956521739130432</v>
      </c>
    </row>
    <row r="45" spans="1:7" outlineLevel="1" collapsed="1" x14ac:dyDescent="0.3">
      <c r="B45" s="5"/>
      <c r="C45" s="21" t="s">
        <v>163</v>
      </c>
      <c r="D45" s="6"/>
      <c r="E45">
        <f>SUBTOTAL(9,E44:E44)</f>
        <v>46</v>
      </c>
      <c r="F45">
        <f>SUBTOTAL(9,F44:F44)</f>
        <v>40</v>
      </c>
      <c r="G45" s="20">
        <f>Лист6!$F45/Лист6!$E45</f>
        <v>0.86956521739130432</v>
      </c>
    </row>
    <row r="46" spans="1:7" hidden="1" outlineLevel="2" x14ac:dyDescent="0.3">
      <c r="A46">
        <v>34</v>
      </c>
      <c r="B46" s="5">
        <v>44027</v>
      </c>
      <c r="C46" s="6" t="s">
        <v>107</v>
      </c>
      <c r="D46" s="6" t="s">
        <v>108</v>
      </c>
      <c r="E46">
        <v>97</v>
      </c>
      <c r="F46">
        <v>18</v>
      </c>
      <c r="G46" s="20">
        <f>Лист6!$F46/Лист6!$E46</f>
        <v>0.18556701030927836</v>
      </c>
    </row>
    <row r="47" spans="1:7" outlineLevel="1" collapsed="1" x14ac:dyDescent="0.3">
      <c r="B47" s="5"/>
      <c r="C47" s="21" t="s">
        <v>164</v>
      </c>
      <c r="D47" s="6"/>
      <c r="E47">
        <f>SUBTOTAL(9,E46:E46)</f>
        <v>97</v>
      </c>
      <c r="F47">
        <f>SUBTOTAL(9,F46:F46)</f>
        <v>18</v>
      </c>
      <c r="G47" s="20">
        <f>Лист6!$F47/Лист6!$E47</f>
        <v>0.18556701030927836</v>
      </c>
    </row>
    <row r="48" spans="1:7" hidden="1" outlineLevel="2" x14ac:dyDescent="0.3">
      <c r="A48">
        <v>47</v>
      </c>
      <c r="B48" s="5">
        <v>45891</v>
      </c>
      <c r="C48" s="6" t="s">
        <v>133</v>
      </c>
      <c r="D48" s="6" t="s">
        <v>134</v>
      </c>
      <c r="E48">
        <v>34</v>
      </c>
      <c r="F48">
        <v>4</v>
      </c>
      <c r="G48" s="20">
        <f>Лист6!$F48/Лист6!$E48</f>
        <v>0.11764705882352941</v>
      </c>
    </row>
    <row r="49" spans="1:7" outlineLevel="1" collapsed="1" x14ac:dyDescent="0.3">
      <c r="B49" s="5"/>
      <c r="C49" s="21" t="s">
        <v>165</v>
      </c>
      <c r="D49" s="6"/>
      <c r="E49">
        <f>SUBTOTAL(9,E48:E48)</f>
        <v>34</v>
      </c>
      <c r="F49">
        <f>SUBTOTAL(9,F48:F48)</f>
        <v>4</v>
      </c>
      <c r="G49" s="20">
        <f>Лист6!$F49/Лист6!$E49</f>
        <v>0.11764705882352941</v>
      </c>
    </row>
    <row r="50" spans="1:7" hidden="1" outlineLevel="2" x14ac:dyDescent="0.3">
      <c r="A50">
        <v>35</v>
      </c>
      <c r="B50" s="5">
        <v>44430</v>
      </c>
      <c r="C50" s="6" t="s">
        <v>109</v>
      </c>
      <c r="D50" s="6" t="s">
        <v>110</v>
      </c>
      <c r="E50">
        <v>10</v>
      </c>
      <c r="F50">
        <v>1</v>
      </c>
      <c r="G50" s="20">
        <f>Лист6!$F50/Лист6!$E50</f>
        <v>0.1</v>
      </c>
    </row>
    <row r="51" spans="1:7" outlineLevel="1" collapsed="1" x14ac:dyDescent="0.3">
      <c r="B51" s="5"/>
      <c r="C51" s="21" t="s">
        <v>166</v>
      </c>
      <c r="D51" s="6"/>
      <c r="E51">
        <f>SUBTOTAL(9,E50:E50)</f>
        <v>10</v>
      </c>
      <c r="F51">
        <f>SUBTOTAL(9,F50:F50)</f>
        <v>1</v>
      </c>
      <c r="G51" s="20">
        <f>Лист6!$F51/Лист6!$E51</f>
        <v>0.1</v>
      </c>
    </row>
    <row r="52" spans="1:7" hidden="1" outlineLevel="2" x14ac:dyDescent="0.3">
      <c r="A52">
        <v>28</v>
      </c>
      <c r="B52" s="5">
        <v>44562</v>
      </c>
      <c r="C52" s="6" t="s">
        <v>95</v>
      </c>
      <c r="D52" s="6" t="s">
        <v>96</v>
      </c>
      <c r="E52">
        <v>64</v>
      </c>
      <c r="F52">
        <v>21</v>
      </c>
      <c r="G52" s="20">
        <f>Лист6!$F52/Лист6!$E52</f>
        <v>0.328125</v>
      </c>
    </row>
    <row r="53" spans="1:7" outlineLevel="1" collapsed="1" x14ac:dyDescent="0.3">
      <c r="B53" s="5"/>
      <c r="C53" s="21" t="s">
        <v>167</v>
      </c>
      <c r="D53" s="6"/>
      <c r="E53">
        <f>SUBTOTAL(9,E52:E52)</f>
        <v>64</v>
      </c>
      <c r="F53">
        <f>SUBTOTAL(9,F52:F52)</f>
        <v>21</v>
      </c>
      <c r="G53" s="20">
        <f>Лист6!$F53/Лист6!$E53</f>
        <v>0.328125</v>
      </c>
    </row>
    <row r="54" spans="1:7" hidden="1" outlineLevel="2" x14ac:dyDescent="0.3">
      <c r="A54">
        <v>42</v>
      </c>
      <c r="B54" s="5">
        <v>43905</v>
      </c>
      <c r="C54" s="6" t="s">
        <v>123</v>
      </c>
      <c r="D54" s="6" t="s">
        <v>124</v>
      </c>
      <c r="E54">
        <v>34</v>
      </c>
      <c r="F54">
        <v>30</v>
      </c>
      <c r="G54" s="20">
        <f>Лист6!$F54/Лист6!$E54</f>
        <v>0.88235294117647056</v>
      </c>
    </row>
    <row r="55" spans="1:7" outlineLevel="1" collapsed="1" x14ac:dyDescent="0.3">
      <c r="B55" s="5"/>
      <c r="C55" s="21" t="s">
        <v>168</v>
      </c>
      <c r="D55" s="6"/>
      <c r="E55">
        <f>SUBTOTAL(9,E54:E54)</f>
        <v>34</v>
      </c>
      <c r="F55">
        <f>SUBTOTAL(9,F54:F54)</f>
        <v>30</v>
      </c>
      <c r="G55" s="20">
        <f>Лист6!$F55/Лист6!$E55</f>
        <v>0.88235294117647056</v>
      </c>
    </row>
    <row r="56" spans="1:7" hidden="1" outlineLevel="2" x14ac:dyDescent="0.3">
      <c r="A56">
        <v>32</v>
      </c>
      <c r="B56" s="5">
        <v>43221</v>
      </c>
      <c r="C56" s="6" t="s">
        <v>103</v>
      </c>
      <c r="D56" s="6" t="s">
        <v>104</v>
      </c>
      <c r="E56">
        <v>86</v>
      </c>
      <c r="F56">
        <v>39</v>
      </c>
      <c r="G56" s="20">
        <f>Лист6!$F56/Лист6!$E56</f>
        <v>0.45348837209302323</v>
      </c>
    </row>
    <row r="57" spans="1:7" outlineLevel="1" collapsed="1" x14ac:dyDescent="0.3">
      <c r="B57" s="5"/>
      <c r="C57" s="21" t="s">
        <v>169</v>
      </c>
      <c r="D57" s="6"/>
      <c r="E57">
        <f>SUBTOTAL(9,E56:E56)</f>
        <v>86</v>
      </c>
      <c r="F57">
        <f>SUBTOTAL(9,F56:F56)</f>
        <v>39</v>
      </c>
      <c r="G57" s="20">
        <f>Лист6!$F57/Лист6!$E57</f>
        <v>0.45348837209302323</v>
      </c>
    </row>
    <row r="58" spans="1:7" hidden="1" outlineLevel="2" x14ac:dyDescent="0.3">
      <c r="A58">
        <v>50</v>
      </c>
      <c r="B58" s="5">
        <v>44150</v>
      </c>
      <c r="C58" s="6" t="s">
        <v>139</v>
      </c>
      <c r="D58" s="6" t="s">
        <v>140</v>
      </c>
      <c r="E58">
        <v>79</v>
      </c>
      <c r="F58">
        <v>70</v>
      </c>
      <c r="G58" s="20">
        <f>Лист6!$F58/Лист6!$E58</f>
        <v>0.88607594936708856</v>
      </c>
    </row>
    <row r="59" spans="1:7" outlineLevel="1" collapsed="1" x14ac:dyDescent="0.3">
      <c r="B59" s="5"/>
      <c r="C59" s="21" t="s">
        <v>170</v>
      </c>
      <c r="D59" s="6"/>
      <c r="E59">
        <f>SUBTOTAL(9,E58:E58)</f>
        <v>79</v>
      </c>
      <c r="F59">
        <f>SUBTOTAL(9,F58:F58)</f>
        <v>70</v>
      </c>
      <c r="G59" s="20">
        <f>Лист6!$F59/Лист6!$E59</f>
        <v>0.88607594936708856</v>
      </c>
    </row>
    <row r="60" spans="1:7" hidden="1" outlineLevel="2" x14ac:dyDescent="0.3">
      <c r="A60">
        <v>5</v>
      </c>
      <c r="B60" s="5">
        <v>44682</v>
      </c>
      <c r="C60" s="6" t="s">
        <v>49</v>
      </c>
      <c r="D60" s="6" t="s">
        <v>50</v>
      </c>
      <c r="E60">
        <v>79</v>
      </c>
      <c r="F60">
        <v>9</v>
      </c>
      <c r="G60" s="20">
        <f>Лист6!$F60/Лист6!$E60</f>
        <v>0.11392405063291139</v>
      </c>
    </row>
    <row r="61" spans="1:7" outlineLevel="1" collapsed="1" x14ac:dyDescent="0.3">
      <c r="B61" s="5"/>
      <c r="C61" s="21" t="s">
        <v>171</v>
      </c>
      <c r="D61" s="6"/>
      <c r="E61">
        <f>SUBTOTAL(9,E60:E60)</f>
        <v>79</v>
      </c>
      <c r="F61">
        <f>SUBTOTAL(9,F60:F60)</f>
        <v>9</v>
      </c>
      <c r="G61" s="20">
        <f>Лист6!$F61/Лист6!$E61</f>
        <v>0.11392405063291139</v>
      </c>
    </row>
    <row r="62" spans="1:7" hidden="1" outlineLevel="2" x14ac:dyDescent="0.3">
      <c r="A62">
        <v>20</v>
      </c>
      <c r="B62" s="5">
        <v>44682</v>
      </c>
      <c r="C62" s="6" t="s">
        <v>79</v>
      </c>
      <c r="D62" s="6" t="s">
        <v>80</v>
      </c>
      <c r="E62">
        <v>79</v>
      </c>
      <c r="F62">
        <v>64</v>
      </c>
      <c r="G62" s="20">
        <f>Лист6!$F62/Лист6!$E62</f>
        <v>0.810126582278481</v>
      </c>
    </row>
    <row r="63" spans="1:7" outlineLevel="1" collapsed="1" x14ac:dyDescent="0.3">
      <c r="B63" s="5"/>
      <c r="C63" s="21" t="s">
        <v>172</v>
      </c>
      <c r="D63" s="6"/>
      <c r="E63">
        <f>SUBTOTAL(9,E62:E62)</f>
        <v>79</v>
      </c>
      <c r="F63">
        <f>SUBTOTAL(9,F62:F62)</f>
        <v>64</v>
      </c>
      <c r="G63" s="20">
        <f>Лист6!$F63/Лист6!$E63</f>
        <v>0.810126582278481</v>
      </c>
    </row>
    <row r="64" spans="1:7" hidden="1" outlineLevel="2" x14ac:dyDescent="0.3">
      <c r="A64">
        <v>14</v>
      </c>
      <c r="B64" s="5">
        <v>44965</v>
      </c>
      <c r="C64" s="6" t="s">
        <v>67</v>
      </c>
      <c r="D64" s="6" t="s">
        <v>68</v>
      </c>
      <c r="E64">
        <v>26</v>
      </c>
      <c r="F64">
        <v>5</v>
      </c>
      <c r="G64" s="20">
        <f>Лист6!$F64/Лист6!$E64</f>
        <v>0.19230769230769232</v>
      </c>
    </row>
    <row r="65" spans="1:7" outlineLevel="1" collapsed="1" x14ac:dyDescent="0.3">
      <c r="B65" s="5"/>
      <c r="C65" s="21" t="s">
        <v>173</v>
      </c>
      <c r="D65" s="6"/>
      <c r="E65">
        <f>SUBTOTAL(9,E64:E64)</f>
        <v>26</v>
      </c>
      <c r="F65">
        <f>SUBTOTAL(9,F64:F64)</f>
        <v>5</v>
      </c>
      <c r="G65" s="20">
        <f>Лист6!$F65/Лист6!$E65</f>
        <v>0.19230769230769232</v>
      </c>
    </row>
    <row r="66" spans="1:7" hidden="1" outlineLevel="2" x14ac:dyDescent="0.3">
      <c r="A66">
        <v>29</v>
      </c>
      <c r="B66" s="5">
        <v>44965</v>
      </c>
      <c r="C66" s="6" t="s">
        <v>97</v>
      </c>
      <c r="D66" s="6" t="s">
        <v>98</v>
      </c>
      <c r="E66">
        <v>26</v>
      </c>
      <c r="F66">
        <v>24</v>
      </c>
      <c r="G66" s="20">
        <f>Лист6!$F66/Лист6!$E66</f>
        <v>0.92307692307692313</v>
      </c>
    </row>
    <row r="67" spans="1:7" outlineLevel="1" collapsed="1" x14ac:dyDescent="0.3">
      <c r="B67" s="5"/>
      <c r="C67" s="21" t="s">
        <v>174</v>
      </c>
      <c r="D67" s="6"/>
      <c r="E67">
        <f>SUBTOTAL(9,E66:E66)</f>
        <v>26</v>
      </c>
      <c r="F67">
        <f>SUBTOTAL(9,F66:F66)</f>
        <v>24</v>
      </c>
      <c r="G67" s="20">
        <f>Лист6!$F67/Лист6!$E67</f>
        <v>0.92307692307692313</v>
      </c>
    </row>
    <row r="68" spans="1:7" hidden="1" outlineLevel="2" x14ac:dyDescent="0.3">
      <c r="A68">
        <v>36</v>
      </c>
      <c r="B68" s="5">
        <v>44805</v>
      </c>
      <c r="C68" s="6" t="s">
        <v>111</v>
      </c>
      <c r="D68" s="6" t="s">
        <v>112</v>
      </c>
      <c r="E68">
        <v>84</v>
      </c>
      <c r="F68">
        <v>77</v>
      </c>
      <c r="G68" s="20">
        <f>Лист6!$F68/Лист6!$E68</f>
        <v>0.91666666666666663</v>
      </c>
    </row>
    <row r="69" spans="1:7" outlineLevel="1" collapsed="1" x14ac:dyDescent="0.3">
      <c r="B69" s="5"/>
      <c r="C69" s="21" t="s">
        <v>175</v>
      </c>
      <c r="D69" s="6"/>
      <c r="E69">
        <f>SUBTOTAL(9,E68:E68)</f>
        <v>84</v>
      </c>
      <c r="F69">
        <f>SUBTOTAL(9,F68:F68)</f>
        <v>77</v>
      </c>
      <c r="G69" s="20">
        <f>Лист6!$F69/Лист6!$E69</f>
        <v>0.91666666666666663</v>
      </c>
    </row>
    <row r="70" spans="1:7" hidden="1" outlineLevel="2" x14ac:dyDescent="0.3">
      <c r="A70">
        <v>41</v>
      </c>
      <c r="B70" s="5">
        <v>43504</v>
      </c>
      <c r="C70" s="6" t="s">
        <v>121</v>
      </c>
      <c r="D70" s="6" t="s">
        <v>122</v>
      </c>
      <c r="E70">
        <v>3</v>
      </c>
      <c r="F70">
        <v>2</v>
      </c>
      <c r="G70" s="20">
        <f>Лист6!$F70/Лист6!$E70</f>
        <v>0.66666666666666663</v>
      </c>
    </row>
    <row r="71" spans="1:7" outlineLevel="1" collapsed="1" x14ac:dyDescent="0.3">
      <c r="B71" s="5"/>
      <c r="C71" s="21" t="s">
        <v>176</v>
      </c>
      <c r="D71" s="6"/>
      <c r="E71">
        <f>SUBTOTAL(9,E70:E70)</f>
        <v>3</v>
      </c>
      <c r="F71">
        <f>SUBTOTAL(9,F70:F70)</f>
        <v>2</v>
      </c>
      <c r="G71" s="20">
        <f>Лист6!$F71/Лист6!$E71</f>
        <v>0.66666666666666663</v>
      </c>
    </row>
    <row r="72" spans="1:7" hidden="1" outlineLevel="2" x14ac:dyDescent="0.3">
      <c r="A72">
        <v>38</v>
      </c>
      <c r="B72" s="5">
        <v>45611</v>
      </c>
      <c r="C72" s="6" t="s">
        <v>115</v>
      </c>
      <c r="D72" s="6" t="s">
        <v>116</v>
      </c>
      <c r="E72">
        <v>9</v>
      </c>
      <c r="F72">
        <v>4</v>
      </c>
      <c r="G72" s="20">
        <f>Лист6!$F72/Лист6!$E72</f>
        <v>0.44444444444444442</v>
      </c>
    </row>
    <row r="73" spans="1:7" outlineLevel="1" collapsed="1" x14ac:dyDescent="0.3">
      <c r="B73" s="5"/>
      <c r="C73" s="21" t="s">
        <v>177</v>
      </c>
      <c r="D73" s="6"/>
      <c r="E73">
        <f>SUBTOTAL(9,E72:E72)</f>
        <v>9</v>
      </c>
      <c r="F73">
        <f>SUBTOTAL(9,F72:F72)</f>
        <v>4</v>
      </c>
      <c r="G73" s="20">
        <f>Лист6!$F73/Лист6!$E73</f>
        <v>0.44444444444444442</v>
      </c>
    </row>
    <row r="74" spans="1:7" hidden="1" outlineLevel="2" x14ac:dyDescent="0.3">
      <c r="A74">
        <v>39</v>
      </c>
      <c r="B74" s="5">
        <v>46013</v>
      </c>
      <c r="C74" s="6" t="s">
        <v>117</v>
      </c>
      <c r="D74" s="6" t="s">
        <v>118</v>
      </c>
      <c r="E74">
        <v>74</v>
      </c>
      <c r="F74">
        <v>29</v>
      </c>
      <c r="G74" s="20">
        <f>Лист6!$F74/Лист6!$E74</f>
        <v>0.39189189189189189</v>
      </c>
    </row>
    <row r="75" spans="1:7" outlineLevel="1" collapsed="1" x14ac:dyDescent="0.3">
      <c r="B75" s="5"/>
      <c r="C75" s="21" t="s">
        <v>178</v>
      </c>
      <c r="D75" s="6"/>
      <c r="E75">
        <f>SUBTOTAL(9,E74:E74)</f>
        <v>74</v>
      </c>
      <c r="F75">
        <f>SUBTOTAL(9,F74:F74)</f>
        <v>29</v>
      </c>
      <c r="G75" s="20">
        <f>Лист6!$F75/Лист6!$E75</f>
        <v>0.39189189189189189</v>
      </c>
    </row>
    <row r="76" spans="1:7" hidden="1" outlineLevel="2" x14ac:dyDescent="0.3">
      <c r="A76">
        <v>43</v>
      </c>
      <c r="B76" s="5">
        <v>44308</v>
      </c>
      <c r="C76" s="6" t="s">
        <v>125</v>
      </c>
      <c r="D76" s="6" t="s">
        <v>126</v>
      </c>
      <c r="E76">
        <v>27</v>
      </c>
      <c r="F76">
        <v>15</v>
      </c>
      <c r="G76" s="20">
        <f>Лист6!$F76/Лист6!$E76</f>
        <v>0.55555555555555558</v>
      </c>
    </row>
    <row r="77" spans="1:7" outlineLevel="1" collapsed="1" x14ac:dyDescent="0.3">
      <c r="B77" s="5"/>
      <c r="C77" s="21" t="s">
        <v>179</v>
      </c>
      <c r="D77" s="6"/>
      <c r="E77">
        <f>SUBTOTAL(9,E76:E76)</f>
        <v>27</v>
      </c>
      <c r="F77">
        <f>SUBTOTAL(9,F76:F76)</f>
        <v>15</v>
      </c>
      <c r="G77" s="20">
        <f>Лист6!$F77/Лист6!$E77</f>
        <v>0.55555555555555558</v>
      </c>
    </row>
    <row r="78" spans="1:7" hidden="1" outlineLevel="2" x14ac:dyDescent="0.3">
      <c r="A78">
        <v>37</v>
      </c>
      <c r="B78" s="5">
        <v>45207</v>
      </c>
      <c r="C78" s="6" t="s">
        <v>113</v>
      </c>
      <c r="D78" s="6" t="s">
        <v>114</v>
      </c>
      <c r="E78">
        <v>71</v>
      </c>
      <c r="F78">
        <v>53</v>
      </c>
      <c r="G78" s="20">
        <f>Лист6!$F78/Лист6!$E78</f>
        <v>0.74647887323943662</v>
      </c>
    </row>
    <row r="79" spans="1:7" outlineLevel="1" collapsed="1" x14ac:dyDescent="0.3">
      <c r="B79" s="5"/>
      <c r="C79" s="21" t="s">
        <v>180</v>
      </c>
      <c r="D79" s="6"/>
      <c r="E79">
        <f>SUBTOTAL(9,E78:E78)</f>
        <v>71</v>
      </c>
      <c r="F79">
        <f>SUBTOTAL(9,F78:F78)</f>
        <v>53</v>
      </c>
      <c r="G79" s="20">
        <f>Лист6!$F79/Лист6!$E79</f>
        <v>0.74647887323943662</v>
      </c>
    </row>
    <row r="80" spans="1:7" hidden="1" outlineLevel="2" x14ac:dyDescent="0.3">
      <c r="A80">
        <v>44</v>
      </c>
      <c r="B80" s="5">
        <v>44682</v>
      </c>
      <c r="C80" s="6" t="s">
        <v>127</v>
      </c>
      <c r="D80" s="6" t="s">
        <v>128</v>
      </c>
      <c r="E80">
        <v>50</v>
      </c>
      <c r="F80">
        <v>5</v>
      </c>
      <c r="G80" s="20">
        <f>Лист6!$F80/Лист6!$E80</f>
        <v>0.1</v>
      </c>
    </row>
    <row r="81" spans="1:7" outlineLevel="1" collapsed="1" x14ac:dyDescent="0.3">
      <c r="B81" s="5"/>
      <c r="C81" s="21" t="s">
        <v>181</v>
      </c>
      <c r="D81" s="6"/>
      <c r="E81">
        <f>SUBTOTAL(9,E80:E80)</f>
        <v>50</v>
      </c>
      <c r="F81">
        <f>SUBTOTAL(9,F80:F80)</f>
        <v>5</v>
      </c>
      <c r="G81" s="20">
        <f>Лист6!$F81/Лист6!$E81</f>
        <v>0.1</v>
      </c>
    </row>
    <row r="82" spans="1:7" hidden="1" outlineLevel="2" x14ac:dyDescent="0.3">
      <c r="A82">
        <v>13</v>
      </c>
      <c r="B82" s="5">
        <v>44562</v>
      </c>
      <c r="C82" s="6" t="s">
        <v>65</v>
      </c>
      <c r="D82" s="6" t="s">
        <v>66</v>
      </c>
      <c r="E82">
        <v>64</v>
      </c>
      <c r="F82">
        <v>60</v>
      </c>
      <c r="G82" s="20">
        <f>Лист6!$F82/Лист6!$E82</f>
        <v>0.9375</v>
      </c>
    </row>
    <row r="83" spans="1:7" outlineLevel="1" collapsed="1" x14ac:dyDescent="0.3">
      <c r="B83" s="5"/>
      <c r="C83" s="21" t="s">
        <v>182</v>
      </c>
      <c r="D83" s="6"/>
      <c r="E83">
        <f>SUBTOTAL(9,E82:E82)</f>
        <v>64</v>
      </c>
      <c r="F83">
        <f>SUBTOTAL(9,F82:F82)</f>
        <v>60</v>
      </c>
      <c r="G83" s="20">
        <f>Лист6!$F83/Лист6!$E83</f>
        <v>0.9375</v>
      </c>
    </row>
    <row r="84" spans="1:7" hidden="1" outlineLevel="2" x14ac:dyDescent="0.3">
      <c r="A84">
        <v>45</v>
      </c>
      <c r="B84" s="5">
        <v>45085</v>
      </c>
      <c r="C84" s="6" t="s">
        <v>129</v>
      </c>
      <c r="D84" s="6" t="s">
        <v>130</v>
      </c>
      <c r="E84">
        <v>99</v>
      </c>
      <c r="F84">
        <v>88</v>
      </c>
      <c r="G84" s="20">
        <f>Лист6!$F84/Лист6!$E84</f>
        <v>0.88888888888888884</v>
      </c>
    </row>
    <row r="85" spans="1:7" outlineLevel="1" collapsed="1" x14ac:dyDescent="0.3">
      <c r="B85" s="5"/>
      <c r="C85" s="21" t="s">
        <v>183</v>
      </c>
      <c r="D85" s="6"/>
      <c r="E85">
        <f>SUBTOTAL(9,E84:E84)</f>
        <v>99</v>
      </c>
      <c r="F85">
        <f>SUBTOTAL(9,F84:F84)</f>
        <v>88</v>
      </c>
      <c r="G85" s="20">
        <f>Лист6!$F85/Лист6!$E85</f>
        <v>0.88888888888888884</v>
      </c>
    </row>
    <row r="86" spans="1:7" hidden="1" outlineLevel="2" x14ac:dyDescent="0.3">
      <c r="A86">
        <v>7</v>
      </c>
      <c r="B86" s="5">
        <v>45488</v>
      </c>
      <c r="C86" s="6" t="s">
        <v>53</v>
      </c>
      <c r="D86" s="6" t="s">
        <v>54</v>
      </c>
      <c r="E86">
        <v>58</v>
      </c>
      <c r="F86">
        <v>35</v>
      </c>
      <c r="G86" s="20">
        <f>Лист6!$F86/Лист6!$E86</f>
        <v>0.60344827586206895</v>
      </c>
    </row>
    <row r="87" spans="1:7" outlineLevel="1" collapsed="1" x14ac:dyDescent="0.3">
      <c r="B87" s="5"/>
      <c r="C87" s="21" t="s">
        <v>184</v>
      </c>
      <c r="D87" s="6"/>
      <c r="E87">
        <f>SUBTOTAL(9,E86:E86)</f>
        <v>58</v>
      </c>
      <c r="F87">
        <f>SUBTOTAL(9,F86:F86)</f>
        <v>35</v>
      </c>
      <c r="G87" s="20">
        <f>Лист6!$F87/Лист6!$E87</f>
        <v>0.60344827586206895</v>
      </c>
    </row>
    <row r="88" spans="1:7" hidden="1" outlineLevel="2" x14ac:dyDescent="0.3">
      <c r="A88">
        <v>22</v>
      </c>
      <c r="B88" s="5">
        <v>45488</v>
      </c>
      <c r="C88" s="6" t="s">
        <v>83</v>
      </c>
      <c r="D88" s="6" t="s">
        <v>84</v>
      </c>
      <c r="E88">
        <v>58</v>
      </c>
      <c r="F88">
        <v>50</v>
      </c>
      <c r="G88" s="20">
        <f>Лист6!$F88/Лист6!$E88</f>
        <v>0.86206896551724133</v>
      </c>
    </row>
    <row r="89" spans="1:7" outlineLevel="1" collapsed="1" x14ac:dyDescent="0.3">
      <c r="B89" s="5"/>
      <c r="C89" s="21" t="s">
        <v>185</v>
      </c>
      <c r="D89" s="6"/>
      <c r="E89">
        <f>SUBTOTAL(9,E88:E88)</f>
        <v>58</v>
      </c>
      <c r="F89">
        <f>SUBTOTAL(9,F88:F88)</f>
        <v>50</v>
      </c>
      <c r="G89" s="20">
        <f>Лист6!$F89/Лист6!$E89</f>
        <v>0.86206896551724133</v>
      </c>
    </row>
    <row r="90" spans="1:7" hidden="1" outlineLevel="2" x14ac:dyDescent="0.3">
      <c r="A90">
        <v>4</v>
      </c>
      <c r="B90" s="5">
        <v>44308</v>
      </c>
      <c r="C90" s="6" t="s">
        <v>47</v>
      </c>
      <c r="D90" s="6" t="s">
        <v>48</v>
      </c>
      <c r="E90">
        <v>91</v>
      </c>
      <c r="F90">
        <v>44</v>
      </c>
      <c r="G90" s="20">
        <f>Лист6!$F90/Лист6!$E90</f>
        <v>0.48351648351648352</v>
      </c>
    </row>
    <row r="91" spans="1:7" outlineLevel="1" collapsed="1" x14ac:dyDescent="0.3">
      <c r="B91" s="5"/>
      <c r="C91" s="21" t="s">
        <v>186</v>
      </c>
      <c r="D91" s="6"/>
      <c r="E91">
        <f>SUBTOTAL(9,E90:E90)</f>
        <v>91</v>
      </c>
      <c r="F91">
        <f>SUBTOTAL(9,F90:F90)</f>
        <v>44</v>
      </c>
      <c r="G91" s="20">
        <f>Лист6!$F91/Лист6!$E91</f>
        <v>0.48351648351648352</v>
      </c>
    </row>
    <row r="92" spans="1:7" hidden="1" outlineLevel="2" x14ac:dyDescent="0.3">
      <c r="A92">
        <v>19</v>
      </c>
      <c r="B92" s="5">
        <v>44308</v>
      </c>
      <c r="C92" s="6" t="s">
        <v>77</v>
      </c>
      <c r="D92" s="6" t="s">
        <v>78</v>
      </c>
      <c r="E92">
        <v>91</v>
      </c>
      <c r="F92">
        <v>85</v>
      </c>
      <c r="G92" s="20">
        <f>Лист6!$F92/Лист6!$E92</f>
        <v>0.93406593406593408</v>
      </c>
    </row>
    <row r="93" spans="1:7" outlineLevel="1" collapsed="1" x14ac:dyDescent="0.3">
      <c r="B93" s="5"/>
      <c r="C93" s="21" t="s">
        <v>187</v>
      </c>
      <c r="D93" s="6"/>
      <c r="E93">
        <f>SUBTOTAL(9,E92:E92)</f>
        <v>91</v>
      </c>
      <c r="F93">
        <f>SUBTOTAL(9,F92:F92)</f>
        <v>85</v>
      </c>
      <c r="G93" s="20">
        <f>Лист6!$F93/Лист6!$E93</f>
        <v>0.93406593406593408</v>
      </c>
    </row>
    <row r="94" spans="1:7" hidden="1" outlineLevel="2" x14ac:dyDescent="0.3">
      <c r="A94">
        <v>49</v>
      </c>
      <c r="B94" s="5">
        <v>43746</v>
      </c>
      <c r="C94" s="6" t="s">
        <v>137</v>
      </c>
      <c r="D94" s="6" t="s">
        <v>138</v>
      </c>
      <c r="E94">
        <v>88</v>
      </c>
      <c r="F94">
        <v>63</v>
      </c>
      <c r="G94" s="20">
        <f>Лист6!$F94/Лист6!$E94</f>
        <v>0.71590909090909094</v>
      </c>
    </row>
    <row r="95" spans="1:7" outlineLevel="1" collapsed="1" x14ac:dyDescent="0.3">
      <c r="B95" s="5"/>
      <c r="C95" s="21" t="s">
        <v>188</v>
      </c>
      <c r="D95" s="6"/>
      <c r="E95">
        <f>SUBTOTAL(9,E94:E94)</f>
        <v>88</v>
      </c>
      <c r="F95">
        <f>SUBTOTAL(9,F94:F94)</f>
        <v>63</v>
      </c>
      <c r="G95" s="20">
        <f>Лист6!$F95/Лист6!$E95</f>
        <v>0.71590909090909094</v>
      </c>
    </row>
    <row r="96" spans="1:7" hidden="1" outlineLevel="2" x14ac:dyDescent="0.3">
      <c r="A96">
        <v>31</v>
      </c>
      <c r="B96" s="5">
        <v>45769</v>
      </c>
      <c r="C96" s="6" t="s">
        <v>101</v>
      </c>
      <c r="D96" s="6" t="s">
        <v>102</v>
      </c>
      <c r="E96">
        <v>8</v>
      </c>
      <c r="F96">
        <v>6</v>
      </c>
      <c r="G96" s="20">
        <f>Лист6!$F96/Лист6!$E96</f>
        <v>0.75</v>
      </c>
    </row>
    <row r="97" spans="1:7" outlineLevel="1" collapsed="1" x14ac:dyDescent="0.3">
      <c r="B97" s="5"/>
      <c r="C97" s="21" t="s">
        <v>189</v>
      </c>
      <c r="D97" s="6"/>
      <c r="E97">
        <f>SUBTOTAL(9,E96:E96)</f>
        <v>8</v>
      </c>
      <c r="F97">
        <f>SUBTOTAL(9,F96:F96)</f>
        <v>6</v>
      </c>
      <c r="G97" s="20">
        <f>Лист6!$F97/Лист6!$E97</f>
        <v>0.75</v>
      </c>
    </row>
    <row r="98" spans="1:7" hidden="1" outlineLevel="2" x14ac:dyDescent="0.3">
      <c r="A98">
        <v>1</v>
      </c>
      <c r="B98" s="5">
        <v>43101</v>
      </c>
      <c r="C98" s="6" t="s">
        <v>41</v>
      </c>
      <c r="D98" s="6" t="s">
        <v>42</v>
      </c>
      <c r="E98">
        <v>99</v>
      </c>
      <c r="F98">
        <v>14</v>
      </c>
      <c r="G98" s="20">
        <f>Лист6!$F98/Лист6!$E98</f>
        <v>0.14141414141414141</v>
      </c>
    </row>
    <row r="99" spans="1:7" outlineLevel="1" collapsed="1" x14ac:dyDescent="0.3">
      <c r="B99" s="5"/>
      <c r="C99" s="21" t="s">
        <v>190</v>
      </c>
      <c r="D99" s="6"/>
      <c r="E99">
        <f>SUBTOTAL(9,E98:E98)</f>
        <v>99</v>
      </c>
      <c r="F99">
        <f>SUBTOTAL(9,F98:F98)</f>
        <v>14</v>
      </c>
      <c r="G99" s="20">
        <f>Лист6!$F99/Лист6!$E99</f>
        <v>0.14141414141414141</v>
      </c>
    </row>
    <row r="100" spans="1:7" hidden="1" outlineLevel="2" x14ac:dyDescent="0.3">
      <c r="A100">
        <v>16</v>
      </c>
      <c r="B100" s="5">
        <v>43101</v>
      </c>
      <c r="C100" s="6" t="s">
        <v>71</v>
      </c>
      <c r="D100" s="6" t="s">
        <v>72</v>
      </c>
      <c r="E100">
        <v>99</v>
      </c>
      <c r="F100">
        <v>91</v>
      </c>
      <c r="G100" s="20">
        <f>Лист6!$F100/Лист6!$E100</f>
        <v>0.91919191919191923</v>
      </c>
    </row>
    <row r="101" spans="1:7" outlineLevel="1" collapsed="1" x14ac:dyDescent="0.3">
      <c r="B101" s="5"/>
      <c r="C101" s="21" t="s">
        <v>191</v>
      </c>
      <c r="D101" s="6"/>
      <c r="E101">
        <f>SUBTOTAL(9,E100:E100)</f>
        <v>99</v>
      </c>
      <c r="F101">
        <f>SUBTOTAL(9,F100:F100)</f>
        <v>91</v>
      </c>
      <c r="G101" s="20">
        <f>Лист6!$F101/Лист6!$E101</f>
        <v>0.91919191919191923</v>
      </c>
    </row>
    <row r="102" spans="1:7" x14ac:dyDescent="0.3">
      <c r="B102" s="5"/>
      <c r="C102" s="21" t="s">
        <v>35</v>
      </c>
      <c r="D102" s="6"/>
      <c r="E102">
        <f>SUBTOTAL(9,E2:E100)</f>
        <v>2981</v>
      </c>
      <c r="F102">
        <f>SUBTOTAL(9,F2:F100)</f>
        <v>1660</v>
      </c>
      <c r="G102" s="20">
        <f>Лист6!$F102/Лист6!$E102</f>
        <v>0.55686011405568603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7139E-1518-4960-B244-D50508908A53}">
  <dimension ref="B2:D51"/>
  <sheetViews>
    <sheetView workbookViewId="0"/>
  </sheetViews>
  <sheetFormatPr defaultRowHeight="14.4" x14ac:dyDescent="0.3"/>
  <cols>
    <col min="1" max="1" width="5" bestFit="1" customWidth="1"/>
    <col min="2" max="2" width="10.109375" bestFit="1" customWidth="1"/>
    <col min="3" max="3" width="22" bestFit="1" customWidth="1"/>
    <col min="4" max="4" width="30.33203125" bestFit="1" customWidth="1"/>
    <col min="5" max="5" width="18.6640625" bestFit="1" customWidth="1"/>
    <col min="6" max="6" width="15" bestFit="1" customWidth="1"/>
  </cols>
  <sheetData>
    <row r="2" spans="2:4" x14ac:dyDescent="0.3">
      <c r="B2" s="5"/>
      <c r="C2" s="6"/>
      <c r="D2" s="6"/>
    </row>
    <row r="3" spans="2:4" x14ac:dyDescent="0.3">
      <c r="B3" s="5"/>
      <c r="C3" s="6"/>
      <c r="D3" s="6"/>
    </row>
    <row r="4" spans="2:4" x14ac:dyDescent="0.3">
      <c r="B4" s="5"/>
      <c r="C4" s="6"/>
      <c r="D4" s="6"/>
    </row>
    <row r="5" spans="2:4" x14ac:dyDescent="0.3">
      <c r="B5" s="5"/>
      <c r="C5" s="6"/>
      <c r="D5" s="6"/>
    </row>
    <row r="6" spans="2:4" x14ac:dyDescent="0.3">
      <c r="B6" s="5"/>
      <c r="C6" s="6"/>
      <c r="D6" s="6"/>
    </row>
    <row r="7" spans="2:4" x14ac:dyDescent="0.3">
      <c r="B7" s="5"/>
      <c r="C7" s="6"/>
      <c r="D7" s="6"/>
    </row>
    <row r="8" spans="2:4" x14ac:dyDescent="0.3">
      <c r="B8" s="5"/>
      <c r="C8" s="6"/>
      <c r="D8" s="6"/>
    </row>
    <row r="9" spans="2:4" x14ac:dyDescent="0.3">
      <c r="B9" s="5"/>
      <c r="C9" s="6"/>
      <c r="D9" s="6"/>
    </row>
    <row r="10" spans="2:4" x14ac:dyDescent="0.3">
      <c r="B10" s="5"/>
      <c r="C10" s="6"/>
      <c r="D10" s="6"/>
    </row>
    <row r="11" spans="2:4" x14ac:dyDescent="0.3">
      <c r="B11" s="5"/>
      <c r="C11" s="6"/>
      <c r="D11" s="6"/>
    </row>
    <row r="12" spans="2:4" x14ac:dyDescent="0.3">
      <c r="B12" s="5"/>
      <c r="C12" s="6"/>
      <c r="D12" s="6"/>
    </row>
    <row r="13" spans="2:4" x14ac:dyDescent="0.3">
      <c r="B13" s="5"/>
      <c r="C13" s="6"/>
      <c r="D13" s="6"/>
    </row>
    <row r="14" spans="2:4" x14ac:dyDescent="0.3">
      <c r="B14" s="5"/>
      <c r="C14" s="6"/>
      <c r="D14" s="6"/>
    </row>
    <row r="15" spans="2:4" x14ac:dyDescent="0.3">
      <c r="B15" s="5"/>
      <c r="C15" s="6"/>
      <c r="D15" s="6"/>
    </row>
    <row r="16" spans="2:4" x14ac:dyDescent="0.3">
      <c r="B16" s="5"/>
      <c r="C16" s="6"/>
      <c r="D16" s="6"/>
    </row>
    <row r="17" spans="2:4" x14ac:dyDescent="0.3">
      <c r="B17" s="5"/>
      <c r="C17" s="6"/>
      <c r="D17" s="6"/>
    </row>
    <row r="18" spans="2:4" x14ac:dyDescent="0.3">
      <c r="B18" s="5"/>
      <c r="C18" s="6"/>
      <c r="D18" s="6"/>
    </row>
    <row r="19" spans="2:4" x14ac:dyDescent="0.3">
      <c r="B19" s="5"/>
      <c r="C19" s="6"/>
      <c r="D19" s="6"/>
    </row>
    <row r="20" spans="2:4" x14ac:dyDescent="0.3">
      <c r="B20" s="5"/>
      <c r="C20" s="6"/>
      <c r="D20" s="6"/>
    </row>
    <row r="21" spans="2:4" x14ac:dyDescent="0.3">
      <c r="B21" s="5"/>
      <c r="C21" s="6"/>
      <c r="D21" s="6"/>
    </row>
    <row r="22" spans="2:4" x14ac:dyDescent="0.3">
      <c r="B22" s="5"/>
      <c r="C22" s="6"/>
      <c r="D22" s="6"/>
    </row>
    <row r="23" spans="2:4" x14ac:dyDescent="0.3">
      <c r="B23" s="5"/>
      <c r="C23" s="6"/>
      <c r="D23" s="6"/>
    </row>
    <row r="24" spans="2:4" x14ac:dyDescent="0.3">
      <c r="B24" s="5"/>
      <c r="C24" s="6"/>
      <c r="D24" s="6"/>
    </row>
    <row r="25" spans="2:4" x14ac:dyDescent="0.3">
      <c r="B25" s="5"/>
      <c r="C25" s="6"/>
      <c r="D25" s="6"/>
    </row>
    <row r="26" spans="2:4" x14ac:dyDescent="0.3">
      <c r="B26" s="5"/>
      <c r="C26" s="6"/>
      <c r="D26" s="6"/>
    </row>
    <row r="27" spans="2:4" x14ac:dyDescent="0.3">
      <c r="B27" s="5"/>
      <c r="C27" s="6"/>
      <c r="D27" s="6"/>
    </row>
    <row r="28" spans="2:4" x14ac:dyDescent="0.3">
      <c r="B28" s="5"/>
      <c r="C28" s="6"/>
      <c r="D28" s="6"/>
    </row>
    <row r="29" spans="2:4" x14ac:dyDescent="0.3">
      <c r="B29" s="5"/>
      <c r="C29" s="6"/>
      <c r="D29" s="6"/>
    </row>
    <row r="30" spans="2:4" x14ac:dyDescent="0.3">
      <c r="B30" s="5"/>
      <c r="C30" s="6"/>
      <c r="D30" s="6"/>
    </row>
    <row r="31" spans="2:4" x14ac:dyDescent="0.3">
      <c r="B31" s="5"/>
      <c r="C31" s="6"/>
      <c r="D31" s="6"/>
    </row>
    <row r="32" spans="2:4" x14ac:dyDescent="0.3">
      <c r="B32" s="5"/>
      <c r="C32" s="6"/>
      <c r="D32" s="6"/>
    </row>
    <row r="33" spans="2:4" x14ac:dyDescent="0.3">
      <c r="B33" s="5"/>
      <c r="C33" s="6"/>
      <c r="D33" s="6"/>
    </row>
    <row r="34" spans="2:4" x14ac:dyDescent="0.3">
      <c r="B34" s="5"/>
      <c r="C34" s="6"/>
      <c r="D34" s="6"/>
    </row>
    <row r="35" spans="2:4" x14ac:dyDescent="0.3">
      <c r="B35" s="5"/>
      <c r="C35" s="6"/>
      <c r="D35" s="6"/>
    </row>
    <row r="36" spans="2:4" x14ac:dyDescent="0.3">
      <c r="B36" s="5"/>
      <c r="C36" s="6"/>
      <c r="D36" s="6"/>
    </row>
    <row r="37" spans="2:4" x14ac:dyDescent="0.3">
      <c r="B37" s="5"/>
      <c r="C37" s="6"/>
      <c r="D37" s="6"/>
    </row>
    <row r="38" spans="2:4" x14ac:dyDescent="0.3">
      <c r="B38" s="5"/>
      <c r="C38" s="6"/>
      <c r="D38" s="6"/>
    </row>
    <row r="39" spans="2:4" x14ac:dyDescent="0.3">
      <c r="B39" s="5"/>
      <c r="C39" s="6"/>
      <c r="D39" s="6"/>
    </row>
    <row r="40" spans="2:4" x14ac:dyDescent="0.3">
      <c r="B40" s="5"/>
      <c r="C40" s="6"/>
      <c r="D40" s="6"/>
    </row>
    <row r="41" spans="2:4" x14ac:dyDescent="0.3">
      <c r="B41" s="5"/>
      <c r="C41" s="6"/>
      <c r="D41" s="6"/>
    </row>
    <row r="42" spans="2:4" x14ac:dyDescent="0.3">
      <c r="B42" s="5"/>
      <c r="C42" s="6"/>
      <c r="D42" s="6"/>
    </row>
    <row r="43" spans="2:4" x14ac:dyDescent="0.3">
      <c r="B43" s="5"/>
      <c r="C43" s="6"/>
      <c r="D43" s="6"/>
    </row>
    <row r="44" spans="2:4" x14ac:dyDescent="0.3">
      <c r="B44" s="5"/>
      <c r="C44" s="6"/>
      <c r="D44" s="6"/>
    </row>
    <row r="45" spans="2:4" x14ac:dyDescent="0.3">
      <c r="B45" s="5"/>
      <c r="C45" s="6"/>
      <c r="D45" s="6"/>
    </row>
    <row r="46" spans="2:4" x14ac:dyDescent="0.3">
      <c r="B46" s="5"/>
      <c r="C46" s="6"/>
      <c r="D46" s="6"/>
    </row>
    <row r="47" spans="2:4" x14ac:dyDescent="0.3">
      <c r="B47" s="5"/>
      <c r="C47" s="6"/>
      <c r="D47" s="6"/>
    </row>
    <row r="48" spans="2:4" x14ac:dyDescent="0.3">
      <c r="B48" s="5"/>
      <c r="C48" s="6"/>
      <c r="D48" s="6"/>
    </row>
    <row r="49" spans="2:4" x14ac:dyDescent="0.3">
      <c r="B49" s="5"/>
      <c r="C49" s="6"/>
      <c r="D49" s="6"/>
    </row>
    <row r="50" spans="2:4" x14ac:dyDescent="0.3">
      <c r="B50" s="5"/>
      <c r="C50" s="6"/>
      <c r="D50" s="6"/>
    </row>
    <row r="51" spans="2:4" x14ac:dyDescent="0.3">
      <c r="B51" s="5"/>
      <c r="C51" s="6"/>
      <c r="D51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E1CDF-10A3-4C70-BB88-1A3B8106EAF6}">
  <dimension ref="B2:D51"/>
  <sheetViews>
    <sheetView workbookViewId="0"/>
  </sheetViews>
  <sheetFormatPr defaultRowHeight="14.4" x14ac:dyDescent="0.3"/>
  <cols>
    <col min="1" max="1" width="5" bestFit="1" customWidth="1"/>
    <col min="2" max="2" width="10.44140625" bestFit="1" customWidth="1"/>
    <col min="3" max="3" width="46.6640625" bestFit="1" customWidth="1"/>
    <col min="4" max="4" width="62.44140625" bestFit="1" customWidth="1"/>
    <col min="5" max="5" width="36.44140625" bestFit="1" customWidth="1"/>
    <col min="6" max="6" width="27.109375" bestFit="1" customWidth="1"/>
  </cols>
  <sheetData>
    <row r="2" spans="2:4" x14ac:dyDescent="0.3">
      <c r="B2" s="5"/>
      <c r="C2" s="6"/>
      <c r="D2" s="6"/>
    </row>
    <row r="3" spans="2:4" x14ac:dyDescent="0.3">
      <c r="B3" s="5"/>
      <c r="C3" s="6"/>
      <c r="D3" s="6"/>
    </row>
    <row r="4" spans="2:4" x14ac:dyDescent="0.3">
      <c r="B4" s="5"/>
      <c r="C4" s="6"/>
      <c r="D4" s="6"/>
    </row>
    <row r="5" spans="2:4" x14ac:dyDescent="0.3">
      <c r="B5" s="5"/>
      <c r="C5" s="6"/>
      <c r="D5" s="6"/>
    </row>
    <row r="6" spans="2:4" x14ac:dyDescent="0.3">
      <c r="B6" s="5"/>
      <c r="C6" s="6"/>
      <c r="D6" s="6"/>
    </row>
    <row r="7" spans="2:4" x14ac:dyDescent="0.3">
      <c r="B7" s="5"/>
      <c r="C7" s="6"/>
      <c r="D7" s="6"/>
    </row>
    <row r="8" spans="2:4" x14ac:dyDescent="0.3">
      <c r="B8" s="5"/>
      <c r="C8" s="6"/>
      <c r="D8" s="6"/>
    </row>
    <row r="9" spans="2:4" x14ac:dyDescent="0.3">
      <c r="B9" s="5"/>
      <c r="C9" s="6"/>
      <c r="D9" s="6"/>
    </row>
    <row r="10" spans="2:4" x14ac:dyDescent="0.3">
      <c r="B10" s="5"/>
      <c r="C10" s="6"/>
      <c r="D10" s="6"/>
    </row>
    <row r="11" spans="2:4" x14ac:dyDescent="0.3">
      <c r="B11" s="5"/>
      <c r="C11" s="6"/>
      <c r="D11" s="6"/>
    </row>
    <row r="12" spans="2:4" x14ac:dyDescent="0.3">
      <c r="B12" s="5"/>
      <c r="C12" s="6"/>
      <c r="D12" s="6"/>
    </row>
    <row r="13" spans="2:4" x14ac:dyDescent="0.3">
      <c r="B13" s="5"/>
      <c r="C13" s="6"/>
      <c r="D13" s="6"/>
    </row>
    <row r="14" spans="2:4" x14ac:dyDescent="0.3">
      <c r="B14" s="5"/>
      <c r="C14" s="6"/>
      <c r="D14" s="6"/>
    </row>
    <row r="15" spans="2:4" x14ac:dyDescent="0.3">
      <c r="B15" s="5"/>
      <c r="C15" s="6"/>
      <c r="D15" s="6"/>
    </row>
    <row r="16" spans="2:4" x14ac:dyDescent="0.3">
      <c r="B16" s="5"/>
      <c r="C16" s="6"/>
      <c r="D16" s="6"/>
    </row>
    <row r="17" spans="2:4" x14ac:dyDescent="0.3">
      <c r="B17" s="5"/>
      <c r="C17" s="6"/>
      <c r="D17" s="6"/>
    </row>
    <row r="18" spans="2:4" x14ac:dyDescent="0.3">
      <c r="B18" s="5"/>
      <c r="C18" s="6"/>
      <c r="D18" s="6"/>
    </row>
    <row r="19" spans="2:4" x14ac:dyDescent="0.3">
      <c r="B19" s="5"/>
      <c r="C19" s="6"/>
      <c r="D19" s="6"/>
    </row>
    <row r="20" spans="2:4" x14ac:dyDescent="0.3">
      <c r="B20" s="5"/>
      <c r="C20" s="6"/>
      <c r="D20" s="6"/>
    </row>
    <row r="21" spans="2:4" x14ac:dyDescent="0.3">
      <c r="B21" s="5"/>
      <c r="C21" s="6"/>
      <c r="D21" s="6"/>
    </row>
    <row r="22" spans="2:4" x14ac:dyDescent="0.3">
      <c r="B22" s="5"/>
      <c r="C22" s="6"/>
      <c r="D22" s="6"/>
    </row>
    <row r="23" spans="2:4" x14ac:dyDescent="0.3">
      <c r="B23" s="5"/>
      <c r="C23" s="6"/>
      <c r="D23" s="6"/>
    </row>
    <row r="24" spans="2:4" x14ac:dyDescent="0.3">
      <c r="B24" s="5"/>
      <c r="C24" s="6"/>
      <c r="D24" s="6"/>
    </row>
    <row r="25" spans="2:4" x14ac:dyDescent="0.3">
      <c r="B25" s="5"/>
      <c r="C25" s="6"/>
      <c r="D25" s="6"/>
    </row>
    <row r="26" spans="2:4" x14ac:dyDescent="0.3">
      <c r="B26" s="5"/>
      <c r="C26" s="6"/>
      <c r="D26" s="6"/>
    </row>
    <row r="27" spans="2:4" x14ac:dyDescent="0.3">
      <c r="B27" s="5"/>
      <c r="C27" s="6"/>
      <c r="D27" s="6"/>
    </row>
    <row r="28" spans="2:4" x14ac:dyDescent="0.3">
      <c r="B28" s="5"/>
      <c r="C28" s="6"/>
      <c r="D28" s="6"/>
    </row>
    <row r="29" spans="2:4" x14ac:dyDescent="0.3">
      <c r="B29" s="5"/>
      <c r="C29" s="6"/>
      <c r="D29" s="6"/>
    </row>
    <row r="30" spans="2:4" x14ac:dyDescent="0.3">
      <c r="B30" s="5"/>
      <c r="C30" s="6"/>
      <c r="D30" s="6"/>
    </row>
    <row r="31" spans="2:4" x14ac:dyDescent="0.3">
      <c r="B31" s="5"/>
      <c r="C31" s="6"/>
      <c r="D31" s="6"/>
    </row>
    <row r="32" spans="2:4" x14ac:dyDescent="0.3">
      <c r="B32" s="5"/>
      <c r="C32" s="6"/>
      <c r="D32" s="6"/>
    </row>
    <row r="33" spans="2:4" x14ac:dyDescent="0.3">
      <c r="B33" s="5"/>
      <c r="C33" s="6"/>
      <c r="D33" s="6"/>
    </row>
    <row r="34" spans="2:4" x14ac:dyDescent="0.3">
      <c r="B34" s="5"/>
      <c r="C34" s="6"/>
      <c r="D34" s="6"/>
    </row>
    <row r="35" spans="2:4" x14ac:dyDescent="0.3">
      <c r="B35" s="5"/>
      <c r="C35" s="6"/>
      <c r="D35" s="6"/>
    </row>
    <row r="36" spans="2:4" x14ac:dyDescent="0.3">
      <c r="B36" s="5"/>
      <c r="C36" s="6"/>
      <c r="D36" s="6"/>
    </row>
    <row r="37" spans="2:4" x14ac:dyDescent="0.3">
      <c r="B37" s="5"/>
      <c r="C37" s="6"/>
      <c r="D37" s="6"/>
    </row>
    <row r="38" spans="2:4" x14ac:dyDescent="0.3">
      <c r="B38" s="5"/>
      <c r="C38" s="6"/>
      <c r="D38" s="6"/>
    </row>
    <row r="39" spans="2:4" x14ac:dyDescent="0.3">
      <c r="B39" s="5"/>
      <c r="C39" s="6"/>
      <c r="D39" s="6"/>
    </row>
    <row r="40" spans="2:4" x14ac:dyDescent="0.3">
      <c r="B40" s="5"/>
      <c r="C40" s="6"/>
      <c r="D40" s="6"/>
    </row>
    <row r="41" spans="2:4" x14ac:dyDescent="0.3">
      <c r="B41" s="5"/>
      <c r="C41" s="6"/>
      <c r="D41" s="6"/>
    </row>
    <row r="42" spans="2:4" x14ac:dyDescent="0.3">
      <c r="B42" s="5"/>
      <c r="C42" s="6"/>
      <c r="D42" s="6"/>
    </row>
    <row r="43" spans="2:4" x14ac:dyDescent="0.3">
      <c r="B43" s="5"/>
      <c r="C43" s="6"/>
      <c r="D43" s="6"/>
    </row>
    <row r="44" spans="2:4" x14ac:dyDescent="0.3">
      <c r="B44" s="5"/>
      <c r="C44" s="6"/>
      <c r="D44" s="6"/>
    </row>
    <row r="45" spans="2:4" x14ac:dyDescent="0.3">
      <c r="B45" s="5"/>
      <c r="C45" s="6"/>
      <c r="D45" s="6"/>
    </row>
    <row r="46" spans="2:4" x14ac:dyDescent="0.3">
      <c r="B46" s="5"/>
      <c r="C46" s="6"/>
      <c r="D46" s="6"/>
    </row>
    <row r="47" spans="2:4" x14ac:dyDescent="0.3">
      <c r="B47" s="5"/>
      <c r="C47" s="6"/>
      <c r="D47" s="6"/>
    </row>
    <row r="48" spans="2:4" x14ac:dyDescent="0.3">
      <c r="B48" s="5"/>
      <c r="C48" s="6"/>
      <c r="D48" s="6"/>
    </row>
    <row r="49" spans="2:4" x14ac:dyDescent="0.3">
      <c r="B49" s="5"/>
      <c r="C49" s="6"/>
      <c r="D49" s="6"/>
    </row>
    <row r="50" spans="2:4" x14ac:dyDescent="0.3">
      <c r="B50" s="5"/>
      <c r="C50" s="6"/>
      <c r="D50" s="6"/>
    </row>
    <row r="51" spans="2:4" x14ac:dyDescent="0.3">
      <c r="B51" s="5"/>
      <c r="C51" s="6"/>
      <c r="D51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1865-2486-483E-ABB4-CAEAFE7375F0}">
  <dimension ref="A1:G87"/>
  <sheetViews>
    <sheetView zoomScaleNormal="100" workbookViewId="0">
      <selection sqref="A1:G86"/>
    </sheetView>
  </sheetViews>
  <sheetFormatPr defaultRowHeight="14.4" outlineLevelRow="2" x14ac:dyDescent="0.3"/>
  <cols>
    <col min="1" max="1" width="5" bestFit="1" customWidth="1"/>
    <col min="2" max="2" width="10.109375" bestFit="1" customWidth="1"/>
    <col min="3" max="3" width="22.6640625" bestFit="1" customWidth="1"/>
    <col min="4" max="4" width="36.33203125" bestFit="1" customWidth="1"/>
    <col min="5" max="5" width="17.21875" bestFit="1" customWidth="1"/>
    <col min="6" max="6" width="22.88671875" bestFit="1" customWidth="1"/>
    <col min="7" max="7" width="24.5546875" bestFit="1" customWidth="1"/>
  </cols>
  <sheetData>
    <row r="1" spans="1:7" x14ac:dyDescent="0.3">
      <c r="A1" s="7"/>
      <c r="B1" s="8"/>
      <c r="C1" s="8"/>
      <c r="D1" s="8"/>
      <c r="E1" s="8"/>
      <c r="F1" s="8"/>
      <c r="G1" s="9"/>
    </row>
    <row r="2" spans="1:7" outlineLevel="2" x14ac:dyDescent="0.3">
      <c r="A2" s="10"/>
      <c r="B2" s="11"/>
      <c r="C2" s="12"/>
      <c r="D2" s="12"/>
      <c r="E2" s="10"/>
      <c r="F2" s="10"/>
      <c r="G2" s="13"/>
    </row>
    <row r="3" spans="1:7" outlineLevel="2" x14ac:dyDescent="0.3">
      <c r="A3" s="10"/>
      <c r="B3" s="11"/>
      <c r="C3" s="12"/>
      <c r="D3" s="12"/>
      <c r="E3" s="10"/>
      <c r="F3" s="10"/>
      <c r="G3" s="13"/>
    </row>
    <row r="4" spans="1:7" outlineLevel="2" x14ac:dyDescent="0.3">
      <c r="A4" s="10"/>
      <c r="B4" s="11"/>
      <c r="C4" s="12"/>
      <c r="D4" s="12"/>
      <c r="E4" s="10"/>
      <c r="F4" s="10"/>
      <c r="G4" s="13"/>
    </row>
    <row r="5" spans="1:7" outlineLevel="2" x14ac:dyDescent="0.3">
      <c r="A5" s="10"/>
      <c r="B5" s="11"/>
      <c r="C5" s="12"/>
      <c r="D5" s="12"/>
      <c r="E5" s="10"/>
      <c r="F5" s="10"/>
      <c r="G5" s="13"/>
    </row>
    <row r="6" spans="1:7" outlineLevel="1" x14ac:dyDescent="0.3">
      <c r="A6" s="10"/>
      <c r="B6" s="11"/>
      <c r="C6" s="17"/>
      <c r="D6" s="12"/>
      <c r="E6" s="10"/>
      <c r="F6" s="10"/>
      <c r="G6" s="13"/>
    </row>
    <row r="7" spans="1:7" outlineLevel="2" x14ac:dyDescent="0.3">
      <c r="A7" s="10"/>
      <c r="B7" s="11"/>
      <c r="C7" s="12"/>
      <c r="D7" s="12"/>
      <c r="E7" s="10"/>
      <c r="F7" s="10"/>
      <c r="G7" s="13"/>
    </row>
    <row r="8" spans="1:7" outlineLevel="2" x14ac:dyDescent="0.3">
      <c r="A8" s="10"/>
      <c r="B8" s="11"/>
      <c r="C8" s="12"/>
      <c r="D8" s="12"/>
      <c r="E8" s="10"/>
      <c r="F8" s="10"/>
      <c r="G8" s="13"/>
    </row>
    <row r="9" spans="1:7" outlineLevel="1" x14ac:dyDescent="0.3">
      <c r="A9" s="10"/>
      <c r="B9" s="11"/>
      <c r="C9" s="17"/>
      <c r="D9" s="12"/>
      <c r="E9" s="10"/>
      <c r="F9" s="10"/>
      <c r="G9" s="13"/>
    </row>
    <row r="10" spans="1:7" outlineLevel="2" x14ac:dyDescent="0.3">
      <c r="A10" s="10"/>
      <c r="B10" s="11"/>
      <c r="C10" s="12"/>
      <c r="D10" s="12"/>
      <c r="E10" s="10"/>
      <c r="F10" s="10"/>
      <c r="G10" s="13"/>
    </row>
    <row r="11" spans="1:7" outlineLevel="2" x14ac:dyDescent="0.3">
      <c r="A11" s="10"/>
      <c r="B11" s="11"/>
      <c r="C11" s="12"/>
      <c r="D11" s="12"/>
      <c r="E11" s="10"/>
      <c r="F11" s="10"/>
      <c r="G11" s="13"/>
    </row>
    <row r="12" spans="1:7" outlineLevel="1" x14ac:dyDescent="0.3">
      <c r="A12" s="10"/>
      <c r="B12" s="11"/>
      <c r="C12" s="17"/>
      <c r="D12" s="12"/>
      <c r="E12" s="10"/>
      <c r="F12" s="10"/>
      <c r="G12" s="13"/>
    </row>
    <row r="13" spans="1:7" outlineLevel="2" x14ac:dyDescent="0.3">
      <c r="A13" s="10"/>
      <c r="B13" s="11"/>
      <c r="C13" s="12"/>
      <c r="D13" s="12"/>
      <c r="E13" s="10"/>
      <c r="F13" s="10"/>
      <c r="G13" s="13"/>
    </row>
    <row r="14" spans="1:7" outlineLevel="2" x14ac:dyDescent="0.3">
      <c r="A14" s="10"/>
      <c r="B14" s="11"/>
      <c r="C14" s="12"/>
      <c r="D14" s="12"/>
      <c r="E14" s="10"/>
      <c r="F14" s="10"/>
      <c r="G14" s="13"/>
    </row>
    <row r="15" spans="1:7" outlineLevel="1" x14ac:dyDescent="0.3">
      <c r="A15" s="10"/>
      <c r="B15" s="11"/>
      <c r="C15" s="17"/>
      <c r="D15" s="12"/>
      <c r="E15" s="10"/>
      <c r="F15" s="10"/>
      <c r="G15" s="13"/>
    </row>
    <row r="16" spans="1:7" outlineLevel="2" x14ac:dyDescent="0.3">
      <c r="A16" s="10"/>
      <c r="B16" s="11"/>
      <c r="C16" s="12"/>
      <c r="D16" s="12"/>
      <c r="E16" s="10"/>
      <c r="F16" s="10"/>
      <c r="G16" s="13"/>
    </row>
    <row r="17" spans="1:7" outlineLevel="2" x14ac:dyDescent="0.3">
      <c r="A17" s="10"/>
      <c r="B17" s="11"/>
      <c r="C17" s="12"/>
      <c r="D17" s="12"/>
      <c r="E17" s="10"/>
      <c r="F17" s="10"/>
      <c r="G17" s="13"/>
    </row>
    <row r="18" spans="1:7" outlineLevel="1" x14ac:dyDescent="0.3">
      <c r="A18" s="10"/>
      <c r="B18" s="11"/>
      <c r="C18" s="17"/>
      <c r="D18" s="12"/>
      <c r="E18" s="10"/>
      <c r="F18" s="10"/>
      <c r="G18" s="13"/>
    </row>
    <row r="19" spans="1:7" outlineLevel="2" x14ac:dyDescent="0.3">
      <c r="A19" s="10"/>
      <c r="B19" s="11"/>
      <c r="C19" s="12"/>
      <c r="D19" s="12"/>
      <c r="E19" s="10"/>
      <c r="F19" s="10"/>
      <c r="G19" s="13"/>
    </row>
    <row r="20" spans="1:7" outlineLevel="2" x14ac:dyDescent="0.3">
      <c r="A20" s="10"/>
      <c r="B20" s="11"/>
      <c r="C20" s="12"/>
      <c r="D20" s="12"/>
      <c r="E20" s="10"/>
      <c r="F20" s="10"/>
      <c r="G20" s="13"/>
    </row>
    <row r="21" spans="1:7" outlineLevel="1" x14ac:dyDescent="0.3">
      <c r="A21" s="10"/>
      <c r="B21" s="11"/>
      <c r="C21" s="17"/>
      <c r="D21" s="12"/>
      <c r="E21" s="10"/>
      <c r="F21" s="10"/>
      <c r="G21" s="13"/>
    </row>
    <row r="22" spans="1:7" outlineLevel="2" x14ac:dyDescent="0.3">
      <c r="A22" s="10"/>
      <c r="B22" s="11"/>
      <c r="C22" s="12"/>
      <c r="D22" s="12"/>
      <c r="E22" s="10"/>
      <c r="F22" s="10"/>
      <c r="G22" s="13"/>
    </row>
    <row r="23" spans="1:7" outlineLevel="2" x14ac:dyDescent="0.3">
      <c r="A23" s="10"/>
      <c r="B23" s="11"/>
      <c r="C23" s="12"/>
      <c r="D23" s="12"/>
      <c r="E23" s="10"/>
      <c r="F23" s="10"/>
      <c r="G23" s="13"/>
    </row>
    <row r="24" spans="1:7" outlineLevel="1" x14ac:dyDescent="0.3">
      <c r="A24" s="10"/>
      <c r="B24" s="11"/>
      <c r="C24" s="17"/>
      <c r="D24" s="12"/>
      <c r="E24" s="10"/>
      <c r="F24" s="10"/>
      <c r="G24" s="13"/>
    </row>
    <row r="25" spans="1:7" outlineLevel="2" x14ac:dyDescent="0.3">
      <c r="A25" s="10"/>
      <c r="B25" s="11"/>
      <c r="C25" s="12"/>
      <c r="D25" s="12"/>
      <c r="E25" s="10"/>
      <c r="F25" s="10"/>
      <c r="G25" s="13"/>
    </row>
    <row r="26" spans="1:7" outlineLevel="2" x14ac:dyDescent="0.3">
      <c r="A26" s="10"/>
      <c r="B26" s="11"/>
      <c r="C26" s="12"/>
      <c r="D26" s="12"/>
      <c r="E26" s="10"/>
      <c r="F26" s="10"/>
      <c r="G26" s="13"/>
    </row>
    <row r="27" spans="1:7" outlineLevel="1" x14ac:dyDescent="0.3">
      <c r="A27" s="10"/>
      <c r="B27" s="11"/>
      <c r="C27" s="17"/>
      <c r="D27" s="12"/>
      <c r="E27" s="10"/>
      <c r="F27" s="10"/>
      <c r="G27" s="13"/>
    </row>
    <row r="28" spans="1:7" outlineLevel="2" x14ac:dyDescent="0.3">
      <c r="A28" s="10"/>
      <c r="B28" s="11"/>
      <c r="C28" s="12"/>
      <c r="D28" s="12"/>
      <c r="E28" s="10"/>
      <c r="F28" s="10"/>
      <c r="G28" s="13"/>
    </row>
    <row r="29" spans="1:7" outlineLevel="2" x14ac:dyDescent="0.3">
      <c r="A29" s="10"/>
      <c r="B29" s="11"/>
      <c r="C29" s="12"/>
      <c r="D29" s="12"/>
      <c r="E29" s="10"/>
      <c r="F29" s="10"/>
      <c r="G29" s="13"/>
    </row>
    <row r="30" spans="1:7" outlineLevel="1" x14ac:dyDescent="0.3">
      <c r="A30" s="10"/>
      <c r="B30" s="11"/>
      <c r="C30" s="17"/>
      <c r="D30" s="12"/>
      <c r="E30" s="10"/>
      <c r="F30" s="10"/>
      <c r="G30" s="13"/>
    </row>
    <row r="31" spans="1:7" outlineLevel="2" x14ac:dyDescent="0.3">
      <c r="A31" s="10"/>
      <c r="B31" s="11"/>
      <c r="C31" s="12"/>
      <c r="D31" s="12"/>
      <c r="E31" s="10"/>
      <c r="F31" s="10"/>
      <c r="G31" s="13"/>
    </row>
    <row r="32" spans="1:7" outlineLevel="2" x14ac:dyDescent="0.3">
      <c r="A32" s="10"/>
      <c r="B32" s="11"/>
      <c r="C32" s="12"/>
      <c r="D32" s="12"/>
      <c r="E32" s="10"/>
      <c r="F32" s="10"/>
      <c r="G32" s="13"/>
    </row>
    <row r="33" spans="1:7" outlineLevel="1" x14ac:dyDescent="0.3">
      <c r="A33" s="10"/>
      <c r="B33" s="11"/>
      <c r="C33" s="17"/>
      <c r="D33" s="12"/>
      <c r="E33" s="10"/>
      <c r="F33" s="10"/>
      <c r="G33" s="13"/>
    </row>
    <row r="34" spans="1:7" outlineLevel="2" x14ac:dyDescent="0.3">
      <c r="A34" s="10"/>
      <c r="B34" s="11"/>
      <c r="C34" s="12"/>
      <c r="D34" s="12"/>
      <c r="E34" s="10"/>
      <c r="F34" s="10"/>
      <c r="G34" s="13"/>
    </row>
    <row r="35" spans="1:7" outlineLevel="2" x14ac:dyDescent="0.3">
      <c r="A35" s="10"/>
      <c r="B35" s="11"/>
      <c r="C35" s="12"/>
      <c r="D35" s="12"/>
      <c r="E35" s="10"/>
      <c r="F35" s="10"/>
      <c r="G35" s="13"/>
    </row>
    <row r="36" spans="1:7" outlineLevel="1" x14ac:dyDescent="0.3">
      <c r="A36" s="10"/>
      <c r="B36" s="11"/>
      <c r="C36" s="17"/>
      <c r="D36" s="12"/>
      <c r="E36" s="10"/>
      <c r="F36" s="10"/>
      <c r="G36" s="13"/>
    </row>
    <row r="37" spans="1:7" outlineLevel="2" x14ac:dyDescent="0.3">
      <c r="A37" s="10"/>
      <c r="B37" s="11"/>
      <c r="C37" s="12"/>
      <c r="D37" s="12"/>
      <c r="E37" s="10"/>
      <c r="F37" s="10"/>
      <c r="G37" s="13"/>
    </row>
    <row r="38" spans="1:7" outlineLevel="2" x14ac:dyDescent="0.3">
      <c r="A38" s="10"/>
      <c r="B38" s="11"/>
      <c r="C38" s="12"/>
      <c r="D38" s="12"/>
      <c r="E38" s="10"/>
      <c r="F38" s="10"/>
      <c r="G38" s="13"/>
    </row>
    <row r="39" spans="1:7" outlineLevel="1" x14ac:dyDescent="0.3">
      <c r="A39" s="10"/>
      <c r="B39" s="11"/>
      <c r="C39" s="17"/>
      <c r="D39" s="12"/>
      <c r="E39" s="10"/>
      <c r="F39" s="10"/>
      <c r="G39" s="13"/>
    </row>
    <row r="40" spans="1:7" outlineLevel="2" x14ac:dyDescent="0.3">
      <c r="A40" s="10"/>
      <c r="B40" s="11"/>
      <c r="C40" s="12"/>
      <c r="D40" s="12"/>
      <c r="E40" s="10"/>
      <c r="F40" s="10"/>
      <c r="G40" s="13"/>
    </row>
    <row r="41" spans="1:7" outlineLevel="2" x14ac:dyDescent="0.3">
      <c r="A41" s="10"/>
      <c r="B41" s="11"/>
      <c r="C41" s="12"/>
      <c r="D41" s="12"/>
      <c r="E41" s="10"/>
      <c r="F41" s="10"/>
      <c r="G41" s="13"/>
    </row>
    <row r="42" spans="1:7" outlineLevel="1" x14ac:dyDescent="0.3">
      <c r="A42" s="10"/>
      <c r="B42" s="11"/>
      <c r="C42" s="17"/>
      <c r="D42" s="12"/>
      <c r="E42" s="10"/>
      <c r="F42" s="10"/>
      <c r="G42" s="13"/>
    </row>
    <row r="43" spans="1:7" outlineLevel="2" x14ac:dyDescent="0.3">
      <c r="A43" s="10"/>
      <c r="B43" s="11"/>
      <c r="C43" s="12"/>
      <c r="D43" s="12"/>
      <c r="E43" s="10"/>
      <c r="F43" s="10"/>
      <c r="G43" s="13"/>
    </row>
    <row r="44" spans="1:7" outlineLevel="2" x14ac:dyDescent="0.3">
      <c r="A44" s="10"/>
      <c r="B44" s="11"/>
      <c r="C44" s="12"/>
      <c r="D44" s="12"/>
      <c r="E44" s="10"/>
      <c r="F44" s="10"/>
      <c r="G44" s="13"/>
    </row>
    <row r="45" spans="1:7" outlineLevel="1" x14ac:dyDescent="0.3">
      <c r="A45" s="10"/>
      <c r="B45" s="11"/>
      <c r="C45" s="17"/>
      <c r="D45" s="12"/>
      <c r="E45" s="10"/>
      <c r="F45" s="10"/>
      <c r="G45" s="13"/>
    </row>
    <row r="46" spans="1:7" outlineLevel="2" x14ac:dyDescent="0.3">
      <c r="A46" s="10"/>
      <c r="B46" s="11"/>
      <c r="C46" s="12"/>
      <c r="D46" s="12"/>
      <c r="E46" s="10"/>
      <c r="F46" s="10"/>
      <c r="G46" s="13"/>
    </row>
    <row r="47" spans="1:7" outlineLevel="1" x14ac:dyDescent="0.3">
      <c r="A47" s="10"/>
      <c r="B47" s="11"/>
      <c r="C47" s="17"/>
      <c r="D47" s="12"/>
      <c r="E47" s="10"/>
      <c r="F47" s="10"/>
      <c r="G47" s="13"/>
    </row>
    <row r="48" spans="1:7" outlineLevel="2" x14ac:dyDescent="0.3">
      <c r="A48" s="10"/>
      <c r="B48" s="11"/>
      <c r="C48" s="12"/>
      <c r="D48" s="12"/>
      <c r="E48" s="10"/>
      <c r="F48" s="10"/>
      <c r="G48" s="13"/>
    </row>
    <row r="49" spans="1:7" outlineLevel="1" x14ac:dyDescent="0.3">
      <c r="A49" s="10"/>
      <c r="B49" s="11"/>
      <c r="C49" s="17"/>
      <c r="D49" s="12"/>
      <c r="E49" s="10"/>
      <c r="F49" s="10"/>
      <c r="G49" s="13"/>
    </row>
    <row r="50" spans="1:7" outlineLevel="2" x14ac:dyDescent="0.3">
      <c r="A50" s="10"/>
      <c r="B50" s="11"/>
      <c r="C50" s="12"/>
      <c r="D50" s="12"/>
      <c r="E50" s="10"/>
      <c r="F50" s="10"/>
      <c r="G50" s="13"/>
    </row>
    <row r="51" spans="1:7" outlineLevel="1" x14ac:dyDescent="0.3">
      <c r="A51" s="10"/>
      <c r="B51" s="11"/>
      <c r="C51" s="17"/>
      <c r="D51" s="12"/>
      <c r="E51" s="10"/>
      <c r="F51" s="10"/>
      <c r="G51" s="13"/>
    </row>
    <row r="52" spans="1:7" outlineLevel="2" x14ac:dyDescent="0.3">
      <c r="A52" s="10"/>
      <c r="B52" s="11"/>
      <c r="C52" s="12"/>
      <c r="D52" s="12"/>
      <c r="E52" s="10"/>
      <c r="F52" s="10"/>
      <c r="G52" s="13"/>
    </row>
    <row r="53" spans="1:7" outlineLevel="1" x14ac:dyDescent="0.3">
      <c r="A53" s="10"/>
      <c r="B53" s="11"/>
      <c r="C53" s="17"/>
      <c r="D53" s="12"/>
      <c r="E53" s="10"/>
      <c r="F53" s="10"/>
      <c r="G53" s="13"/>
    </row>
    <row r="54" spans="1:7" outlineLevel="2" x14ac:dyDescent="0.3">
      <c r="A54" s="10"/>
      <c r="B54" s="11"/>
      <c r="C54" s="12"/>
      <c r="D54" s="12"/>
      <c r="E54" s="10"/>
      <c r="F54" s="10"/>
      <c r="G54" s="13"/>
    </row>
    <row r="55" spans="1:7" outlineLevel="1" x14ac:dyDescent="0.3">
      <c r="A55" s="10"/>
      <c r="B55" s="11"/>
      <c r="C55" s="17"/>
      <c r="D55" s="12"/>
      <c r="E55" s="10"/>
      <c r="F55" s="10"/>
      <c r="G55" s="13"/>
    </row>
    <row r="56" spans="1:7" outlineLevel="2" x14ac:dyDescent="0.3">
      <c r="A56" s="10"/>
      <c r="B56" s="11"/>
      <c r="C56" s="12"/>
      <c r="D56" s="12"/>
      <c r="E56" s="10"/>
      <c r="F56" s="10"/>
      <c r="G56" s="13"/>
    </row>
    <row r="57" spans="1:7" outlineLevel="1" x14ac:dyDescent="0.3">
      <c r="A57" s="10"/>
      <c r="B57" s="11"/>
      <c r="C57" s="17"/>
      <c r="D57" s="12"/>
      <c r="E57" s="10"/>
      <c r="F57" s="10"/>
      <c r="G57" s="13"/>
    </row>
    <row r="58" spans="1:7" outlineLevel="2" x14ac:dyDescent="0.3">
      <c r="A58" s="10"/>
      <c r="B58" s="11"/>
      <c r="C58" s="12"/>
      <c r="D58" s="12"/>
      <c r="E58" s="10"/>
      <c r="F58" s="10"/>
      <c r="G58" s="13"/>
    </row>
    <row r="59" spans="1:7" outlineLevel="1" x14ac:dyDescent="0.3">
      <c r="A59" s="10"/>
      <c r="B59" s="11"/>
      <c r="C59" s="17"/>
      <c r="D59" s="12"/>
      <c r="E59" s="10"/>
      <c r="F59" s="10"/>
      <c r="G59" s="13"/>
    </row>
    <row r="60" spans="1:7" outlineLevel="2" x14ac:dyDescent="0.3">
      <c r="A60" s="10"/>
      <c r="B60" s="11"/>
      <c r="C60" s="12"/>
      <c r="D60" s="12"/>
      <c r="E60" s="10"/>
      <c r="F60" s="10"/>
      <c r="G60" s="13"/>
    </row>
    <row r="61" spans="1:7" outlineLevel="1" x14ac:dyDescent="0.3">
      <c r="A61" s="10"/>
      <c r="B61" s="11"/>
      <c r="C61" s="17"/>
      <c r="D61" s="12"/>
      <c r="E61" s="10"/>
      <c r="F61" s="10"/>
      <c r="G61" s="13"/>
    </row>
    <row r="62" spans="1:7" outlineLevel="2" x14ac:dyDescent="0.3">
      <c r="A62" s="10"/>
      <c r="B62" s="11"/>
      <c r="C62" s="12"/>
      <c r="D62" s="12"/>
      <c r="E62" s="10"/>
      <c r="F62" s="10"/>
      <c r="G62" s="13"/>
    </row>
    <row r="63" spans="1:7" outlineLevel="1" x14ac:dyDescent="0.3">
      <c r="A63" s="10"/>
      <c r="B63" s="11"/>
      <c r="C63" s="17"/>
      <c r="D63" s="12"/>
      <c r="E63" s="10"/>
      <c r="F63" s="10"/>
      <c r="G63" s="13"/>
    </row>
    <row r="64" spans="1:7" outlineLevel="2" x14ac:dyDescent="0.3">
      <c r="A64" s="10"/>
      <c r="B64" s="11"/>
      <c r="C64" s="12"/>
      <c r="D64" s="12"/>
      <c r="E64" s="10"/>
      <c r="F64" s="10"/>
      <c r="G64" s="13"/>
    </row>
    <row r="65" spans="1:7" outlineLevel="1" x14ac:dyDescent="0.3">
      <c r="A65" s="10"/>
      <c r="B65" s="11"/>
      <c r="C65" s="17"/>
      <c r="D65" s="12"/>
      <c r="E65" s="10"/>
      <c r="F65" s="10"/>
      <c r="G65" s="13"/>
    </row>
    <row r="66" spans="1:7" outlineLevel="2" x14ac:dyDescent="0.3">
      <c r="A66" s="10"/>
      <c r="B66" s="11"/>
      <c r="C66" s="12"/>
      <c r="D66" s="12"/>
      <c r="E66" s="10"/>
      <c r="F66" s="10"/>
      <c r="G66" s="13"/>
    </row>
    <row r="67" spans="1:7" outlineLevel="1" x14ac:dyDescent="0.3">
      <c r="A67" s="10"/>
      <c r="B67" s="11"/>
      <c r="C67" s="17"/>
      <c r="D67" s="12"/>
      <c r="E67" s="10"/>
      <c r="F67" s="10"/>
      <c r="G67" s="13"/>
    </row>
    <row r="68" spans="1:7" outlineLevel="2" x14ac:dyDescent="0.3">
      <c r="A68" s="10"/>
      <c r="B68" s="11"/>
      <c r="C68" s="12"/>
      <c r="D68" s="12"/>
      <c r="E68" s="10"/>
      <c r="F68" s="10"/>
      <c r="G68" s="13"/>
    </row>
    <row r="69" spans="1:7" outlineLevel="1" x14ac:dyDescent="0.3">
      <c r="A69" s="10"/>
      <c r="B69" s="11"/>
      <c r="C69" s="17"/>
      <c r="D69" s="12"/>
      <c r="E69" s="10"/>
      <c r="F69" s="10"/>
      <c r="G69" s="13"/>
    </row>
    <row r="70" spans="1:7" outlineLevel="2" x14ac:dyDescent="0.3">
      <c r="A70" s="10"/>
      <c r="B70" s="11"/>
      <c r="C70" s="12"/>
      <c r="D70" s="12"/>
      <c r="E70" s="10"/>
      <c r="F70" s="10"/>
      <c r="G70" s="13"/>
    </row>
    <row r="71" spans="1:7" outlineLevel="1" x14ac:dyDescent="0.3">
      <c r="A71" s="10"/>
      <c r="B71" s="11"/>
      <c r="C71" s="17"/>
      <c r="D71" s="12"/>
      <c r="E71" s="10"/>
      <c r="F71" s="10"/>
      <c r="G71" s="13"/>
    </row>
    <row r="72" spans="1:7" outlineLevel="2" x14ac:dyDescent="0.3">
      <c r="A72" s="10"/>
      <c r="B72" s="11"/>
      <c r="C72" s="12"/>
      <c r="D72" s="12"/>
      <c r="E72" s="10"/>
      <c r="F72" s="10"/>
      <c r="G72" s="13"/>
    </row>
    <row r="73" spans="1:7" outlineLevel="1" x14ac:dyDescent="0.3">
      <c r="A73" s="10"/>
      <c r="B73" s="11"/>
      <c r="C73" s="17"/>
      <c r="D73" s="12"/>
      <c r="E73" s="10"/>
      <c r="F73" s="10"/>
      <c r="G73" s="13"/>
    </row>
    <row r="74" spans="1:7" outlineLevel="2" x14ac:dyDescent="0.3">
      <c r="A74" s="10"/>
      <c r="B74" s="11"/>
      <c r="C74" s="12"/>
      <c r="D74" s="12"/>
      <c r="E74" s="10"/>
      <c r="F74" s="10"/>
      <c r="G74" s="13"/>
    </row>
    <row r="75" spans="1:7" outlineLevel="1" x14ac:dyDescent="0.3">
      <c r="A75" s="10"/>
      <c r="B75" s="11"/>
      <c r="C75" s="17"/>
      <c r="D75" s="12"/>
      <c r="E75" s="10"/>
      <c r="F75" s="10"/>
      <c r="G75" s="13"/>
    </row>
    <row r="76" spans="1:7" outlineLevel="2" x14ac:dyDescent="0.3">
      <c r="A76" s="10"/>
      <c r="B76" s="11"/>
      <c r="C76" s="12"/>
      <c r="D76" s="12"/>
      <c r="E76" s="10"/>
      <c r="F76" s="10"/>
      <c r="G76" s="13"/>
    </row>
    <row r="77" spans="1:7" outlineLevel="1" x14ac:dyDescent="0.3">
      <c r="A77" s="10"/>
      <c r="B77" s="11"/>
      <c r="C77" s="17"/>
      <c r="D77" s="12"/>
      <c r="E77" s="10"/>
      <c r="F77" s="10"/>
      <c r="G77" s="13"/>
    </row>
    <row r="78" spans="1:7" outlineLevel="2" x14ac:dyDescent="0.3">
      <c r="A78" s="10"/>
      <c r="B78" s="11"/>
      <c r="C78" s="12"/>
      <c r="D78" s="12"/>
      <c r="E78" s="10"/>
      <c r="F78" s="10"/>
      <c r="G78" s="13"/>
    </row>
    <row r="79" spans="1:7" outlineLevel="1" x14ac:dyDescent="0.3">
      <c r="A79" s="10"/>
      <c r="B79" s="11"/>
      <c r="C79" s="17"/>
      <c r="D79" s="12"/>
      <c r="E79" s="10"/>
      <c r="F79" s="10"/>
      <c r="G79" s="13"/>
    </row>
    <row r="80" spans="1:7" outlineLevel="2" x14ac:dyDescent="0.3">
      <c r="A80" s="10"/>
      <c r="B80" s="11"/>
      <c r="C80" s="12"/>
      <c r="D80" s="12"/>
      <c r="E80" s="10"/>
      <c r="F80" s="10"/>
      <c r="G80" s="13"/>
    </row>
    <row r="81" spans="1:7" outlineLevel="1" x14ac:dyDescent="0.3">
      <c r="A81" s="10"/>
      <c r="B81" s="11"/>
      <c r="C81" s="17"/>
      <c r="D81" s="12"/>
      <c r="E81" s="10"/>
      <c r="F81" s="10"/>
      <c r="G81" s="13"/>
    </row>
    <row r="82" spans="1:7" outlineLevel="2" x14ac:dyDescent="0.3">
      <c r="A82" s="10"/>
      <c r="B82" s="11"/>
      <c r="C82" s="12"/>
      <c r="D82" s="12"/>
      <c r="E82" s="10"/>
      <c r="F82" s="10"/>
      <c r="G82" s="13"/>
    </row>
    <row r="83" spans="1:7" outlineLevel="1" x14ac:dyDescent="0.3">
      <c r="A83" s="10"/>
      <c r="B83" s="11"/>
      <c r="C83" s="17"/>
      <c r="D83" s="12"/>
      <c r="E83" s="10"/>
      <c r="F83" s="10"/>
      <c r="G83" s="13"/>
    </row>
    <row r="84" spans="1:7" outlineLevel="2" x14ac:dyDescent="0.3">
      <c r="A84" s="14"/>
      <c r="B84" s="15"/>
      <c r="C84" s="16"/>
      <c r="D84" s="16"/>
      <c r="E84" s="14"/>
      <c r="F84" s="14"/>
      <c r="G84" s="13"/>
    </row>
    <row r="85" spans="1:7" outlineLevel="1" x14ac:dyDescent="0.3">
      <c r="A85" s="1"/>
      <c r="B85" s="2"/>
      <c r="C85" s="19"/>
      <c r="D85" s="3"/>
      <c r="E85" s="1"/>
      <c r="F85" s="1"/>
      <c r="G85" s="13"/>
    </row>
    <row r="86" spans="1:7" x14ac:dyDescent="0.3">
      <c r="A86" s="1"/>
      <c r="B86" s="2"/>
      <c r="C86" s="19"/>
      <c r="D86" s="3"/>
      <c r="E86" s="1"/>
      <c r="F86" s="1"/>
      <c r="G86" s="4"/>
    </row>
    <row r="87" spans="1:7" x14ac:dyDescent="0.3">
      <c r="G87" s="18"/>
    </row>
  </sheetData>
  <sortState ref="A2:G84">
    <sortCondition ref="D2:D8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705A-0B50-4125-B0F4-79F2E501AE6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078D70D-1867-4F6D-8598-B4F4CC6BD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Лист3</vt:lpstr>
      <vt:lpstr>Лист6</vt:lpstr>
      <vt:lpstr>Лист5</vt:lpstr>
      <vt:lpstr>Лист4</vt:lpstr>
      <vt:lpstr>Лист2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MSI</dc:creator>
  <cp:lastModifiedBy>MSI</cp:lastModifiedBy>
  <dcterms:created xsi:type="dcterms:W3CDTF">2026-02-25T19:28:05Z</dcterms:created>
  <dcterms:modified xsi:type="dcterms:W3CDTF">2026-03-10T07:37:04Z</dcterms:modified>
</cp:coreProperties>
</file>