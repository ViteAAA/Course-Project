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ourse-Project\data\"/>
    </mc:Choice>
  </mc:AlternateContent>
  <xr:revisionPtr revIDLastSave="0" documentId="13_ncr:1_{55E077A3-B8FB-4AD7-A346-84216389870E}" xr6:coauthVersionLast="37" xr6:coauthVersionMax="37" xr10:uidLastSave="{00000000-0000-0000-0000-000000000000}"/>
  <bookViews>
    <workbookView xWindow="0" yWindow="0" windowWidth="23040" windowHeight="8364" activeTab="1" xr2:uid="{78C7945D-4F1D-472E-83F9-0CE599057B7E}"/>
  </bookViews>
  <sheets>
    <sheet name="Лист3" sheetId="3" r:id="rId1"/>
    <sheet name="Лист6" sheetId="6" r:id="rId2"/>
    <sheet name="Лист5" sheetId="5" r:id="rId3"/>
    <sheet name="Лист4" sheetId="4" r:id="rId4"/>
    <sheet name="Лист2" sheetId="2" r:id="rId5"/>
    <sheet name="Лист1" sheetId="1" r:id="rId6"/>
  </sheets>
  <definedNames>
    <definedName name="_xlnm._FilterDatabase" localSheetId="1" hidden="1">Лист6!$A$1:$F$92</definedName>
    <definedName name="data" localSheetId="1">Лист6!$A$1:$E$92</definedName>
    <definedName name="ExternalData_2" localSheetId="0" hidden="1">Лист3!$A$1:$F$16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6" l="1"/>
  <c r="F4" i="6"/>
  <c r="F5" i="6"/>
  <c r="F7" i="6"/>
  <c r="F9" i="6"/>
  <c r="F11" i="6"/>
  <c r="F13" i="6"/>
  <c r="F14" i="6"/>
  <c r="F15" i="6"/>
  <c r="F16" i="6"/>
  <c r="F17" i="6"/>
  <c r="F18" i="6"/>
  <c r="F19" i="6"/>
  <c r="F21" i="6"/>
  <c r="F23" i="6"/>
  <c r="F24" i="6"/>
  <c r="F26" i="6"/>
  <c r="F27" i="6"/>
  <c r="F29" i="6"/>
  <c r="F30" i="6"/>
  <c r="F31" i="6"/>
  <c r="F32" i="6"/>
  <c r="F33" i="6"/>
  <c r="F34" i="6"/>
  <c r="F35" i="6"/>
  <c r="F37" i="6"/>
  <c r="F39" i="6"/>
  <c r="F41" i="6"/>
  <c r="F42" i="6"/>
  <c r="F43" i="6"/>
  <c r="F45" i="6"/>
  <c r="F47" i="6"/>
  <c r="F48" i="6"/>
  <c r="F49" i="6"/>
  <c r="F50" i="6"/>
  <c r="F51" i="6"/>
  <c r="F53" i="6"/>
  <c r="F55" i="6"/>
  <c r="F57" i="6"/>
  <c r="F58" i="6"/>
  <c r="F59" i="6"/>
  <c r="F61" i="6"/>
  <c r="F63" i="6"/>
  <c r="F64" i="6"/>
  <c r="F65" i="6"/>
  <c r="F66" i="6"/>
  <c r="F67" i="6"/>
  <c r="F69" i="6"/>
  <c r="F71" i="6"/>
  <c r="F73" i="6"/>
  <c r="F74" i="6"/>
  <c r="F75" i="6"/>
  <c r="F77" i="6"/>
  <c r="F79" i="6"/>
  <c r="F80" i="6"/>
  <c r="F81" i="6"/>
  <c r="F82" i="6"/>
  <c r="F84" i="6"/>
  <c r="F86" i="6"/>
  <c r="F88" i="6"/>
  <c r="F89" i="6"/>
  <c r="F90" i="6"/>
  <c r="F91" i="6"/>
  <c r="F92" i="6"/>
  <c r="E93" i="6"/>
  <c r="F93" i="6" s="1"/>
  <c r="D93" i="6"/>
  <c r="E91" i="6"/>
  <c r="D91" i="6"/>
  <c r="E89" i="6"/>
  <c r="D89" i="6"/>
  <c r="E87" i="6"/>
  <c r="F87" i="6" s="1"/>
  <c r="D87" i="6"/>
  <c r="E85" i="6"/>
  <c r="F85" i="6" s="1"/>
  <c r="D85" i="6"/>
  <c r="E83" i="6"/>
  <c r="F83" i="6" s="1"/>
  <c r="D83" i="6"/>
  <c r="E81" i="6"/>
  <c r="D81" i="6"/>
  <c r="E78" i="6"/>
  <c r="F78" i="6" s="1"/>
  <c r="D78" i="6"/>
  <c r="E76" i="6"/>
  <c r="F76" i="6" s="1"/>
  <c r="D76" i="6"/>
  <c r="E74" i="6"/>
  <c r="D74" i="6"/>
  <c r="E72" i="6"/>
  <c r="F72" i="6" s="1"/>
  <c r="D72" i="6"/>
  <c r="E70" i="6"/>
  <c r="F70" i="6" s="1"/>
  <c r="D70" i="6"/>
  <c r="E68" i="6"/>
  <c r="F68" i="6" s="1"/>
  <c r="D68" i="6"/>
  <c r="E66" i="6"/>
  <c r="D66" i="6"/>
  <c r="E64" i="6"/>
  <c r="D64" i="6"/>
  <c r="E62" i="6"/>
  <c r="F62" i="6" s="1"/>
  <c r="D62" i="6"/>
  <c r="E60" i="6"/>
  <c r="F60" i="6" s="1"/>
  <c r="D60" i="6"/>
  <c r="E58" i="6"/>
  <c r="D58" i="6"/>
  <c r="E56" i="6"/>
  <c r="F56" i="6" s="1"/>
  <c r="D56" i="6"/>
  <c r="E54" i="6"/>
  <c r="F54" i="6" s="1"/>
  <c r="D54" i="6"/>
  <c r="E52" i="6"/>
  <c r="F52" i="6" s="1"/>
  <c r="D52" i="6"/>
  <c r="E50" i="6"/>
  <c r="D50" i="6"/>
  <c r="E48" i="6"/>
  <c r="D48" i="6"/>
  <c r="E46" i="6"/>
  <c r="F46" i="6" s="1"/>
  <c r="D46" i="6"/>
  <c r="E44" i="6"/>
  <c r="F44" i="6" s="1"/>
  <c r="D44" i="6"/>
  <c r="E42" i="6"/>
  <c r="D42" i="6"/>
  <c r="E40" i="6"/>
  <c r="F40" i="6" s="1"/>
  <c r="D40" i="6"/>
  <c r="E38" i="6"/>
  <c r="F38" i="6" s="1"/>
  <c r="D38" i="6"/>
  <c r="E36" i="6"/>
  <c r="F36" i="6" s="1"/>
  <c r="D36" i="6"/>
  <c r="E33" i="6"/>
  <c r="D33" i="6"/>
  <c r="E31" i="6"/>
  <c r="D31" i="6"/>
  <c r="E28" i="6"/>
  <c r="F28" i="6" s="1"/>
  <c r="D28" i="6"/>
  <c r="E25" i="6"/>
  <c r="F25" i="6" s="1"/>
  <c r="D25" i="6"/>
  <c r="E22" i="6"/>
  <c r="F22" i="6" s="1"/>
  <c r="D22" i="6"/>
  <c r="E20" i="6"/>
  <c r="F20" i="6" s="1"/>
  <c r="D20" i="6"/>
  <c r="E18" i="6"/>
  <c r="D18" i="6"/>
  <c r="E16" i="6"/>
  <c r="D16" i="6"/>
  <c r="E14" i="6"/>
  <c r="D14" i="6"/>
  <c r="E12" i="6"/>
  <c r="F12" i="6" s="1"/>
  <c r="D12" i="6"/>
  <c r="E10" i="6"/>
  <c r="F10" i="6" s="1"/>
  <c r="D10" i="6"/>
  <c r="E8" i="6"/>
  <c r="E94" i="6" s="1"/>
  <c r="D8" i="6"/>
  <c r="D94" i="6" s="1"/>
  <c r="E6" i="6"/>
  <c r="F6" i="6" s="1"/>
  <c r="D6" i="6"/>
  <c r="F2" i="6"/>
  <c r="F94" i="6" l="1"/>
  <c r="F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05E0ED-7C0E-45A6-8C20-0A3250CF12CF}" name="data" type="6" refreshedVersion="6" background="1" saveData="1">
    <textPr codePage="1251" sourceFile="D:\GitHub\Course-Project\data\data.csv" decimal="," thousands=" " semicolon="1">
      <textFields count="5">
        <textField type="DMY"/>
        <textField type="text"/>
        <textField type="text"/>
        <textField/>
        <textField/>
      </textFields>
    </textPr>
  </connection>
  <connection id="2" xr16:uid="{BB044B76-0508-4903-9FFC-1ADC24EFA7BF}" keepAlive="1" name="Запрос — data" description="Соединение с запросом &quot;data&quot; в книге." type="5" refreshedVersion="6" background="1">
    <dbPr connection="Provider=Microsoft.Mashup.OleDb.1;Data Source=$Workbook$;Location=data;Extended Properties=&quot;&quot;" command="SELECT * FROM [data]"/>
  </connection>
  <connection id="3" xr16:uid="{EF2D7C41-700F-41AF-95D1-09DEE9B13EB1}" keepAlive="1" name="Запрос — data (2)" description="Соединение с запросом &quot;data (2)&quot; в книге." type="5" refreshedVersion="6" background="1" saveData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<sst xmlns="http://schemas.openxmlformats.org/spreadsheetml/2006/main" count="185" uniqueCount="160">
  <si>
    <t>ID</t>
  </si>
  <si>
    <t xml:space="preserve"> Date</t>
  </si>
  <si>
    <t xml:space="preserve"> Name of the company</t>
  </si>
  <si>
    <t xml:space="preserve"> Name of the product</t>
  </si>
  <si>
    <t xml:space="preserve"> Produced, mln r</t>
  </si>
  <si>
    <t xml:space="preserve"> Including export, mln r</t>
  </si>
  <si>
    <t xml:space="preserve"> Essence</t>
  </si>
  <si>
    <t xml:space="preserve"> Essence Mascara Lash Princess</t>
  </si>
  <si>
    <t xml:space="preserve"> Glamour Beauty</t>
  </si>
  <si>
    <t xml:space="preserve"> Eyeshadow Palette with Mirror</t>
  </si>
  <si>
    <t xml:space="preserve"> Velvet Touch</t>
  </si>
  <si>
    <t xml:space="preserve"> Powder Canister</t>
  </si>
  <si>
    <t xml:space="preserve"> Chic Cosmetics</t>
  </si>
  <si>
    <t xml:space="preserve"> Red Lipstick</t>
  </si>
  <si>
    <t xml:space="preserve"> Nail Couture</t>
  </si>
  <si>
    <t xml:space="preserve"> Red Nail Polish</t>
  </si>
  <si>
    <t xml:space="preserve"> Calvin Klein</t>
  </si>
  <si>
    <t xml:space="preserve"> Calvin Klein CK One</t>
  </si>
  <si>
    <t xml:space="preserve"> Chanel</t>
  </si>
  <si>
    <t xml:space="preserve"> Chanel Coco Noir Eau De</t>
  </si>
  <si>
    <t xml:space="preserve"> Dior</t>
  </si>
  <si>
    <t xml:space="preserve"> Dior J'adore</t>
  </si>
  <si>
    <t xml:space="preserve"> Dolce &amp; Gabbana</t>
  </si>
  <si>
    <t xml:space="preserve"> Dolce Shine Eau de</t>
  </si>
  <si>
    <t xml:space="preserve"> Gucci</t>
  </si>
  <si>
    <t xml:space="preserve"> Gucci Bloom Eau de</t>
  </si>
  <si>
    <t xml:space="preserve"> Annibale Colombo</t>
  </si>
  <si>
    <t xml:space="preserve"> Annibale Colombo Bed</t>
  </si>
  <si>
    <t xml:space="preserve"> Annibale Colombo Sofa</t>
  </si>
  <si>
    <t xml:space="preserve"> Furniture Co.</t>
  </si>
  <si>
    <t xml:space="preserve"> Bedside Table African Cherry</t>
  </si>
  <si>
    <t xml:space="preserve"> Knoll</t>
  </si>
  <si>
    <t xml:space="preserve"> Knoll Saarinen Executive Conference Chair</t>
  </si>
  <si>
    <t xml:space="preserve"> Bath Trends</t>
  </si>
  <si>
    <t xml:space="preserve"> Wooden Bathroom Sink With Mirror</t>
  </si>
  <si>
    <t>Общий итог</t>
  </si>
  <si>
    <t>Дата</t>
  </si>
  <si>
    <t>Компания</t>
  </si>
  <si>
    <t>Продукт</t>
  </si>
  <si>
    <t>Произведено, млн р.</t>
  </si>
  <si>
    <t>Экспорт, млн р.</t>
  </si>
  <si>
    <t>Эссенс Косметикс</t>
  </si>
  <si>
    <t>Тушь Эссенс Lash Princess</t>
  </si>
  <si>
    <t>Гламур Бьюти</t>
  </si>
  <si>
    <t>Палетка теней с зеркалом</t>
  </si>
  <si>
    <t>Вельвет Тач</t>
  </si>
  <si>
    <t>Контейнер для пудры</t>
  </si>
  <si>
    <t>Шик Косметикс</t>
  </si>
  <si>
    <t>Красная помада</t>
  </si>
  <si>
    <t>Нейл Кутюр</t>
  </si>
  <si>
    <t>Красный лак для ногтей</t>
  </si>
  <si>
    <t>Кельвин Кляйн</t>
  </si>
  <si>
    <t>Кельвин Кляйн CK One</t>
  </si>
  <si>
    <t>Шанель</t>
  </si>
  <si>
    <t>Диор</t>
  </si>
  <si>
    <t>Диор Жадор</t>
  </si>
  <si>
    <t>Дольче и Габбана</t>
  </si>
  <si>
    <t>Гуччи</t>
  </si>
  <si>
    <t>Аннибале Коломбо</t>
  </si>
  <si>
    <t>Кровать Аннибале Коломбо</t>
  </si>
  <si>
    <t>Диван Аннибале Коломбо</t>
  </si>
  <si>
    <t>Фёрничер Ко</t>
  </si>
  <si>
    <t>Тумбочка «Африканская вишня»</t>
  </si>
  <si>
    <t>Нолл</t>
  </si>
  <si>
    <t>Стул для конференций Knoll Saarinen</t>
  </si>
  <si>
    <t>Бас Трендс</t>
  </si>
  <si>
    <t>Деревянная раковина с зеркалом</t>
  </si>
  <si>
    <t>Эссенс Про</t>
  </si>
  <si>
    <t>Гламур Бьюти Плюс</t>
  </si>
  <si>
    <t>Вельвет Тач Групп</t>
  </si>
  <si>
    <t>Шик Косметикс Люкс</t>
  </si>
  <si>
    <t>Нейл Кутюр Мастер</t>
  </si>
  <si>
    <t>Тумбочка «Вишневый сад»</t>
  </si>
  <si>
    <t>Нолл Дизайн</t>
  </si>
  <si>
    <t>Бас Трендс Дизайн</t>
  </si>
  <si>
    <t>Эппл</t>
  </si>
  <si>
    <t>Яблоко</t>
  </si>
  <si>
    <t>Мясной Двор</t>
  </si>
  <si>
    <t>Стейк из говядины</t>
  </si>
  <si>
    <t>Кошачий Корм</t>
  </si>
  <si>
    <t>Корм для кошек</t>
  </si>
  <si>
    <t>Куриная Ферма</t>
  </si>
  <si>
    <t>Куриное мясо</t>
  </si>
  <si>
    <t>МаслоПром</t>
  </si>
  <si>
    <t>Масло подсолнечное</t>
  </si>
  <si>
    <t>Овощной Рай</t>
  </si>
  <si>
    <t>Огурец</t>
  </si>
  <si>
    <t>Собачья Радость</t>
  </si>
  <si>
    <t>Корм для собак</t>
  </si>
  <si>
    <t>Птицефабрика</t>
  </si>
  <si>
    <t>Яйца</t>
  </si>
  <si>
    <t>Рыбный Цех</t>
  </si>
  <si>
    <t>Стейк из рыбы</t>
  </si>
  <si>
    <t>Зеленый Сад</t>
  </si>
  <si>
    <t>Зеленый болгарский перец</t>
  </si>
  <si>
    <t>Перец-Чили</t>
  </si>
  <si>
    <t>Зеленый перец чили</t>
  </si>
  <si>
    <t>Медовая Лавка</t>
  </si>
  <si>
    <t>Банка меда</t>
  </si>
  <si>
    <t>Снежное Лакомство</t>
  </si>
  <si>
    <t>Мороженое</t>
  </si>
  <si>
    <t>Соковый Завод</t>
  </si>
  <si>
    <t>Сок</t>
  </si>
  <si>
    <t>Фруктовый Мир</t>
  </si>
  <si>
    <t>Киви</t>
  </si>
  <si>
    <t>Апекс Бьюти</t>
  </si>
  <si>
    <t>Луна Косметикс</t>
  </si>
  <si>
    <t>Вельвет Воркс</t>
  </si>
  <si>
    <t>Шик Лайн</t>
  </si>
  <si>
    <t>Нейл Артизанс</t>
  </si>
  <si>
    <t>Доля экспорта</t>
  </si>
  <si>
    <t>Аннибале Коломбо Итог</t>
  </si>
  <si>
    <t>Апекс Бьюти Итог</t>
  </si>
  <si>
    <t>Бас Трендс Итог</t>
  </si>
  <si>
    <t>Бас Трендс Дизайн Итог</t>
  </si>
  <si>
    <t>Вельвет Воркс Итог</t>
  </si>
  <si>
    <t>Вельвет Тач Итог</t>
  </si>
  <si>
    <t>Вельвет Тач Групп Итог</t>
  </si>
  <si>
    <t>Гламур Бьюти Итог</t>
  </si>
  <si>
    <t>Гламур Бьюти Плюс Итог</t>
  </si>
  <si>
    <t>Гуччи Итог</t>
  </si>
  <si>
    <t>Диор Итог</t>
  </si>
  <si>
    <t>Дольче и Габбана Итог</t>
  </si>
  <si>
    <t>Зеленый Сад Итог</t>
  </si>
  <si>
    <t>Кельвин Кляйн Итог</t>
  </si>
  <si>
    <t>Кошачий Корм Итог</t>
  </si>
  <si>
    <t>Куриная Ферма Итог</t>
  </si>
  <si>
    <t>Луна Косметикс Итог</t>
  </si>
  <si>
    <t>МаслоПром Итог</t>
  </si>
  <si>
    <t>Медовая Лавка Итог</t>
  </si>
  <si>
    <t>Мясной Двор Итог</t>
  </si>
  <si>
    <t>Нейл Артизанс Итог</t>
  </si>
  <si>
    <t>Нейл Кутюр Итог</t>
  </si>
  <si>
    <t>Нейл Кутюр Мастер Итог</t>
  </si>
  <si>
    <t>Нолл Итог</t>
  </si>
  <si>
    <t>Нолл Дизайн Итог</t>
  </si>
  <si>
    <t>Овощной Рай Итог</t>
  </si>
  <si>
    <t>Перец-Чили Итог</t>
  </si>
  <si>
    <t>Птицефабрика Итог</t>
  </si>
  <si>
    <t>Рыбный Цех Итог</t>
  </si>
  <si>
    <t>Снежное Лакомство Итог</t>
  </si>
  <si>
    <t>Собачья Радость Итог</t>
  </si>
  <si>
    <t>Соковый Завод Итог</t>
  </si>
  <si>
    <t>Фёрничер Ко Итог</t>
  </si>
  <si>
    <t>Фруктовый Мир Итог</t>
  </si>
  <si>
    <t>Шанель Итог</t>
  </si>
  <si>
    <t>Шик Косметикс Итог</t>
  </si>
  <si>
    <t>Шик Косметикс Люкс Итог</t>
  </si>
  <si>
    <t>Шик Лайн Итог</t>
  </si>
  <si>
    <t>Эппл Итог</t>
  </si>
  <si>
    <t>Эссенс Косметикс Итог</t>
  </si>
  <si>
    <t>Эссенс Про Итог</t>
  </si>
  <si>
    <t>Шанель Коко Нуар</t>
  </si>
  <si>
    <t>Дольче Шайн</t>
  </si>
  <si>
    <t>Гуччи Блум</t>
  </si>
  <si>
    <t>Мебельная Компания N1</t>
  </si>
  <si>
    <t>Стул Knoll Saarinen</t>
  </si>
  <si>
    <t>Раковина из дерева</t>
  </si>
  <si>
    <t>Палетка теней</t>
  </si>
  <si>
    <t>Мебельная Компания N1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</si>
</sst>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ont="1" applyFill="1" applyBorder="1"/>
    <xf numFmtId="14" fontId="0" fillId="2" borderId="1" xfId="0" applyNumberFormat="1" applyFont="1" applyFill="1" applyBorder="1"/>
    <xf numFmtId="0" fontId="0" fillId="2" borderId="1" xfId="0" applyNumberFormat="1" applyFont="1" applyFill="1" applyBorder="1"/>
    <xf numFmtId="9" fontId="0" fillId="2" borderId="1" xfId="1" applyNumberFormat="1" applyFont="1" applyFill="1" applyBorder="1"/>
    <xf numFmtId="14" fontId="0" fillId="0" borderId="0" xfId="0" applyNumberFormat="1"/>
    <xf numFmtId="0" fontId="0" fillId="0" borderId="0" xfId="0" applyNumberFormat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2" borderId="5" xfId="0" applyFont="1" applyFill="1" applyBorder="1"/>
    <xf numFmtId="14" fontId="0" fillId="2" borderId="5" xfId="0" applyNumberFormat="1" applyFont="1" applyFill="1" applyBorder="1"/>
    <xf numFmtId="0" fontId="0" fillId="2" borderId="5" xfId="0" applyNumberFormat="1" applyFont="1" applyFill="1" applyBorder="1"/>
    <xf numFmtId="9" fontId="0" fillId="2" borderId="6" xfId="1" applyNumberFormat="1" applyFont="1" applyFill="1" applyBorder="1"/>
    <xf numFmtId="0" fontId="0" fillId="2" borderId="7" xfId="0" applyFont="1" applyFill="1" applyBorder="1"/>
    <xf numFmtId="14" fontId="0" fillId="2" borderId="7" xfId="0" applyNumberFormat="1" applyFont="1" applyFill="1" applyBorder="1"/>
    <xf numFmtId="0" fontId="0" fillId="2" borderId="7" xfId="0" applyNumberFormat="1" applyFont="1" applyFill="1" applyBorder="1"/>
    <xf numFmtId="0" fontId="3" fillId="2" borderId="5" xfId="0" applyNumberFormat="1" applyFont="1" applyFill="1" applyBorder="1"/>
    <xf numFmtId="9" fontId="0" fillId="2" borderId="8" xfId="1" applyNumberFormat="1" applyFont="1" applyFill="1" applyBorder="1"/>
    <xf numFmtId="0" fontId="3" fillId="2" borderId="1" xfId="0" applyNumberFormat="1" applyFont="1" applyFill="1" applyBorder="1"/>
    <xf numFmtId="9" fontId="0" fillId="0" borderId="0" xfId="1" applyFont="1"/>
    <xf numFmtId="0" fontId="3" fillId="0" borderId="0" xfId="0" applyNumberFormat="1" applyFont="1"/>
    <xf numFmtId="49" fontId="0" fillId="0" borderId="0" xfId="0" applyNumberFormat="1"/>
    <xf numFmtId="49" fontId="3" fillId="0" borderId="0" xfId="0" applyNumberFormat="1" applyFont="1"/>
  </cellXfs>
  <cellStyles count="2">
    <cellStyle name="Обычный" xfId="0" builtinId="0"/>
    <cellStyle name="Процентный" xfId="1" builtinId="5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Лист6!#REF!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Лист6!$C$100:$C$144</c:f>
              <c:numCache>
                <c:formatCode>General</c:formatCode>
                <c:ptCount val="45"/>
              </c:numCache>
            </c:numRef>
          </c:cat>
          <c:val>
            <c:numRef>
              <c:f>Лист6!$D$100:$D$144</c:f>
              <c:numCache>
                <c:formatCode>General</c:formatCode>
                <c:ptCount val="45"/>
              </c:numCache>
            </c:numRef>
          </c:val>
          <c:extLst>
            <c:ext xmlns:c16="http://schemas.microsoft.com/office/drawing/2014/chart" uri="{C3380CC4-5D6E-409C-BE32-E72D297353CC}">
              <c16:uniqueId val="{00000000-C966-4FE6-8D42-6436A532DE09}"/>
            </c:ext>
          </c:extLst>
        </c:ser>
        <c:ser>
          <c:idx val="1"/>
          <c:order val="1"/>
          <c:tx>
            <c:strRef>
              <c:f>Лист6!#REF!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Лист6!$C$100:$C$144</c:f>
              <c:numCache>
                <c:formatCode>General</c:formatCode>
                <c:ptCount val="45"/>
              </c:numCache>
            </c:numRef>
          </c:cat>
          <c:val>
            <c:numRef>
              <c:f>Лист6!$E$100:$E$144</c:f>
              <c:numCache>
                <c:formatCode>General</c:formatCode>
                <c:ptCount val="45"/>
              </c:numCache>
            </c:numRef>
          </c:val>
          <c:extLst>
            <c:ext xmlns:c16="http://schemas.microsoft.com/office/drawing/2014/chart" uri="{C3380CC4-5D6E-409C-BE32-E72D297353CC}">
              <c16:uniqueId val="{00000001-C966-4FE6-8D42-6436A532DE09}"/>
            </c:ext>
          </c:extLst>
        </c:ser>
        <c:ser>
          <c:idx val="2"/>
          <c:order val="2"/>
          <c:tx>
            <c:strRef>
              <c:f>Лист6!$F$1</c:f>
              <c:strCache>
                <c:ptCount val="1"/>
                <c:pt idx="0">
                  <c:v>Доля экспорта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Лист6!$C$100:$C$144</c:f>
              <c:numCache>
                <c:formatCode>General</c:formatCode>
                <c:ptCount val="45"/>
              </c:numCache>
            </c:numRef>
          </c:cat>
          <c:val>
            <c:numRef>
              <c:f>Лист6!$F$2:$F$144</c:f>
              <c:numCache>
                <c:formatCode>0%</c:formatCode>
                <c:ptCount val="93"/>
                <c:pt idx="0">
                  <c:v>0.44932432432432434</c:v>
                </c:pt>
                <c:pt idx="1">
                  <c:v>0.85</c:v>
                </c:pt>
                <c:pt idx="2">
                  <c:v>0.42857142857142855</c:v>
                </c:pt>
                <c:pt idx="3">
                  <c:v>0</c:v>
                </c:pt>
                <c:pt idx="4">
                  <c:v>0.49473684210526314</c:v>
                </c:pt>
                <c:pt idx="5">
                  <c:v>0.797752808988764</c:v>
                </c:pt>
                <c:pt idx="6">
                  <c:v>0.3707865168539326</c:v>
                </c:pt>
                <c:pt idx="7">
                  <c:v>0.82352941176470584</c:v>
                </c:pt>
                <c:pt idx="8">
                  <c:v>0.47058823529411764</c:v>
                </c:pt>
                <c:pt idx="9">
                  <c:v>0.32967032967032966</c:v>
                </c:pt>
                <c:pt idx="10">
                  <c:v>0.45408163265306123</c:v>
                </c:pt>
                <c:pt idx="11">
                  <c:v>0.625</c:v>
                </c:pt>
                <c:pt idx="12">
                  <c:v>0.39393939393939392</c:v>
                </c:pt>
                <c:pt idx="13">
                  <c:v>0.2413793103448276</c:v>
                </c:pt>
                <c:pt idx="14">
                  <c:v>0.86956521739130432</c:v>
                </c:pt>
                <c:pt idx="15">
                  <c:v>0.18556701030927836</c:v>
                </c:pt>
                <c:pt idx="16">
                  <c:v>0.11764705882352941</c:v>
                </c:pt>
                <c:pt idx="17">
                  <c:v>0.1</c:v>
                </c:pt>
                <c:pt idx="18">
                  <c:v>0.328125</c:v>
                </c:pt>
                <c:pt idx="19">
                  <c:v>0.88235294117647056</c:v>
                </c:pt>
                <c:pt idx="20">
                  <c:v>0.45348837209302323</c:v>
                </c:pt>
                <c:pt idx="21">
                  <c:v>0.88607594936708856</c:v>
                </c:pt>
                <c:pt idx="22">
                  <c:v>0.11392405063291139</c:v>
                </c:pt>
                <c:pt idx="23">
                  <c:v>0.810126582278481</c:v>
                </c:pt>
                <c:pt idx="24">
                  <c:v>0.19230769230769232</c:v>
                </c:pt>
                <c:pt idx="25">
                  <c:v>0.92307692307692313</c:v>
                </c:pt>
                <c:pt idx="26">
                  <c:v>0.91666666666666663</c:v>
                </c:pt>
                <c:pt idx="27">
                  <c:v>0.66666666666666663</c:v>
                </c:pt>
                <c:pt idx="28">
                  <c:v>0.44444444444444442</c:v>
                </c:pt>
                <c:pt idx="29">
                  <c:v>0.39189189189189189</c:v>
                </c:pt>
                <c:pt idx="30">
                  <c:v>0.55555555555555558</c:v>
                </c:pt>
                <c:pt idx="31">
                  <c:v>0.74647887323943662</c:v>
                </c:pt>
                <c:pt idx="32">
                  <c:v>0.1</c:v>
                </c:pt>
                <c:pt idx="33">
                  <c:v>0.9375</c:v>
                </c:pt>
                <c:pt idx="34">
                  <c:v>0.88888888888888884</c:v>
                </c:pt>
                <c:pt idx="35">
                  <c:v>0.73275862068965514</c:v>
                </c:pt>
                <c:pt idx="36">
                  <c:v>0.48351648351648352</c:v>
                </c:pt>
                <c:pt idx="37">
                  <c:v>0.93406593406593408</c:v>
                </c:pt>
                <c:pt idx="38">
                  <c:v>0.71590909090909094</c:v>
                </c:pt>
                <c:pt idx="39">
                  <c:v>0.75</c:v>
                </c:pt>
                <c:pt idx="40">
                  <c:v>0.14141414141414141</c:v>
                </c:pt>
                <c:pt idx="41">
                  <c:v>0.91919191919191923</c:v>
                </c:pt>
                <c:pt idx="42">
                  <c:v>0.55686011405568603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66-4FE6-8D42-6436A532DE09}"/>
            </c:ext>
          </c:extLst>
        </c:ser>
        <c:ser>
          <c:idx val="3"/>
          <c:order val="3"/>
          <c:tx>
            <c:strRef>
              <c:f>Лист6!$G$1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Лист6!$C$100:$C$144</c:f>
              <c:numCache>
                <c:formatCode>General</c:formatCode>
                <c:ptCount val="45"/>
              </c:numCache>
            </c:numRef>
          </c:cat>
          <c:val>
            <c:numRef>
              <c:f>Лист6!$G$2:$G$144</c:f>
              <c:numCache>
                <c:formatCode>0%</c:formatCode>
                <c:ptCount val="93"/>
              </c:numCache>
            </c:numRef>
          </c:val>
          <c:extLst>
            <c:ext xmlns:c16="http://schemas.microsoft.com/office/drawing/2014/chart" uri="{C3380CC4-5D6E-409C-BE32-E72D297353CC}">
              <c16:uniqueId val="{00000003-C966-4FE6-8D42-6436A532D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6152384"/>
        <c:axId val="1553827360"/>
      </c:barChart>
      <c:catAx>
        <c:axId val="165615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3827360"/>
        <c:crosses val="autoZero"/>
        <c:auto val="1"/>
        <c:lblAlgn val="ctr"/>
        <c:lblOffset val="100"/>
        <c:noMultiLvlLbl val="0"/>
      </c:catAx>
      <c:valAx>
        <c:axId val="155382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615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Лист6!$F$1</c:f>
              <c:strCache>
                <c:ptCount val="1"/>
                <c:pt idx="0">
                  <c:v>Доля экспорта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Лист6!$B$2:$B$94</c:f>
              <c:strCache>
                <c:ptCount val="43"/>
                <c:pt idx="0">
                  <c:v>Аннибале Коломбо Итог</c:v>
                </c:pt>
                <c:pt idx="1">
                  <c:v>Апекс Бьюти Итог</c:v>
                </c:pt>
                <c:pt idx="2">
                  <c:v>Бас Трендс Итог</c:v>
                </c:pt>
                <c:pt idx="3">
                  <c:v>Бас Трендс Дизайн Итог</c:v>
                </c:pt>
                <c:pt idx="4">
                  <c:v>Вельвет Воркс Итог</c:v>
                </c:pt>
                <c:pt idx="5">
                  <c:v>Вельвет Тач Итог</c:v>
                </c:pt>
                <c:pt idx="6">
                  <c:v>Вельвет Тач Групп Итог</c:v>
                </c:pt>
                <c:pt idx="7">
                  <c:v>Гламур Бьюти Итог</c:v>
                </c:pt>
                <c:pt idx="8">
                  <c:v>Гламур Бьюти Плюс Итог</c:v>
                </c:pt>
                <c:pt idx="9">
                  <c:v>Гуччи Итог</c:v>
                </c:pt>
                <c:pt idx="10">
                  <c:v>Диор Итог</c:v>
                </c:pt>
                <c:pt idx="11">
                  <c:v>Дольче и Габбана Итог</c:v>
                </c:pt>
                <c:pt idx="12">
                  <c:v>Зеленый Сад Итог</c:v>
                </c:pt>
                <c:pt idx="13">
                  <c:v>Кельвин Кляйн Итог</c:v>
                </c:pt>
                <c:pt idx="14">
                  <c:v>Кошачий Корм Итог</c:v>
                </c:pt>
                <c:pt idx="15">
                  <c:v>Куриная Ферма Итог</c:v>
                </c:pt>
                <c:pt idx="16">
                  <c:v>Луна Косметикс Итог</c:v>
                </c:pt>
                <c:pt idx="17">
                  <c:v>МаслоПром Итог</c:v>
                </c:pt>
                <c:pt idx="18">
                  <c:v>Мебельная Компания N1 Итог</c:v>
                </c:pt>
                <c:pt idx="19">
                  <c:v>Медовая Лавка Итог</c:v>
                </c:pt>
                <c:pt idx="20">
                  <c:v>Мясной Двор Итог</c:v>
                </c:pt>
                <c:pt idx="21">
                  <c:v>Нейл Артизанс Итог</c:v>
                </c:pt>
                <c:pt idx="22">
                  <c:v>Нейл Кутюр Итог</c:v>
                </c:pt>
                <c:pt idx="23">
                  <c:v>Нейл Кутюр Мастер Итог</c:v>
                </c:pt>
                <c:pt idx="24">
                  <c:v>Нолл Итог</c:v>
                </c:pt>
                <c:pt idx="25">
                  <c:v>Нолл Дизайн Итог</c:v>
                </c:pt>
                <c:pt idx="26">
                  <c:v>Овощной Рай Итог</c:v>
                </c:pt>
                <c:pt idx="27">
                  <c:v>Перец-Чили Итог</c:v>
                </c:pt>
                <c:pt idx="28">
                  <c:v>Птицефабрика Итог</c:v>
                </c:pt>
                <c:pt idx="29">
                  <c:v>Рыбный Цех Итог</c:v>
                </c:pt>
                <c:pt idx="30">
                  <c:v>Снежное Лакомство Итог</c:v>
                </c:pt>
                <c:pt idx="31">
                  <c:v>Собачья Радость Итог</c:v>
                </c:pt>
                <c:pt idx="32">
                  <c:v>Соковый Завод Итог</c:v>
                </c:pt>
                <c:pt idx="33">
                  <c:v>Фёрничер Ко Итог</c:v>
                </c:pt>
                <c:pt idx="34">
                  <c:v>Фруктовый Мир Итог</c:v>
                </c:pt>
                <c:pt idx="35">
                  <c:v>Шанель Итог</c:v>
                </c:pt>
                <c:pt idx="36">
                  <c:v>Шик Косметикс Итог</c:v>
                </c:pt>
                <c:pt idx="37">
                  <c:v>Шик Косметикс Люкс Итог</c:v>
                </c:pt>
                <c:pt idx="38">
                  <c:v>Шик Лайн Итог</c:v>
                </c:pt>
                <c:pt idx="39">
                  <c:v>Эппл Итог</c:v>
                </c:pt>
                <c:pt idx="40">
                  <c:v>Эссенс Косметикс Итог</c:v>
                </c:pt>
                <c:pt idx="41">
                  <c:v>Эссенс Про Итог</c:v>
                </c:pt>
                <c:pt idx="42">
                  <c:v>Общий итог</c:v>
                </c:pt>
              </c:strCache>
            </c:strRef>
          </c:cat>
          <c:val>
            <c:numRef>
              <c:f>Лист6!$F$2:$F$94</c:f>
              <c:numCache>
                <c:formatCode>0%</c:formatCode>
                <c:ptCount val="43"/>
                <c:pt idx="0">
                  <c:v>0.44932432432432434</c:v>
                </c:pt>
                <c:pt idx="1">
                  <c:v>0.85</c:v>
                </c:pt>
                <c:pt idx="2">
                  <c:v>0.42857142857142855</c:v>
                </c:pt>
                <c:pt idx="3">
                  <c:v>0</c:v>
                </c:pt>
                <c:pt idx="4">
                  <c:v>0.49473684210526314</c:v>
                </c:pt>
                <c:pt idx="5">
                  <c:v>0.797752808988764</c:v>
                </c:pt>
                <c:pt idx="6">
                  <c:v>0.3707865168539326</c:v>
                </c:pt>
                <c:pt idx="7">
                  <c:v>0.82352941176470584</c:v>
                </c:pt>
                <c:pt idx="8">
                  <c:v>0.47058823529411764</c:v>
                </c:pt>
                <c:pt idx="9">
                  <c:v>0.32967032967032966</c:v>
                </c:pt>
                <c:pt idx="10">
                  <c:v>0.45408163265306123</c:v>
                </c:pt>
                <c:pt idx="11">
                  <c:v>0.625</c:v>
                </c:pt>
                <c:pt idx="12">
                  <c:v>0.39393939393939392</c:v>
                </c:pt>
                <c:pt idx="13">
                  <c:v>0.2413793103448276</c:v>
                </c:pt>
                <c:pt idx="14">
                  <c:v>0.86956521739130432</c:v>
                </c:pt>
                <c:pt idx="15">
                  <c:v>0.18556701030927836</c:v>
                </c:pt>
                <c:pt idx="16">
                  <c:v>0.11764705882352941</c:v>
                </c:pt>
                <c:pt idx="17">
                  <c:v>0.1</c:v>
                </c:pt>
                <c:pt idx="18">
                  <c:v>0.328125</c:v>
                </c:pt>
                <c:pt idx="19">
                  <c:v>0.88235294117647056</c:v>
                </c:pt>
                <c:pt idx="20">
                  <c:v>0.45348837209302323</c:v>
                </c:pt>
                <c:pt idx="21">
                  <c:v>0.88607594936708856</c:v>
                </c:pt>
                <c:pt idx="22">
                  <c:v>0.11392405063291139</c:v>
                </c:pt>
                <c:pt idx="23">
                  <c:v>0.810126582278481</c:v>
                </c:pt>
                <c:pt idx="24">
                  <c:v>0.19230769230769232</c:v>
                </c:pt>
                <c:pt idx="25">
                  <c:v>0.92307692307692313</c:v>
                </c:pt>
                <c:pt idx="26">
                  <c:v>0.91666666666666663</c:v>
                </c:pt>
                <c:pt idx="27">
                  <c:v>0.66666666666666663</c:v>
                </c:pt>
                <c:pt idx="28">
                  <c:v>0.44444444444444442</c:v>
                </c:pt>
                <c:pt idx="29">
                  <c:v>0.39189189189189189</c:v>
                </c:pt>
                <c:pt idx="30">
                  <c:v>0.55555555555555558</c:v>
                </c:pt>
                <c:pt idx="31">
                  <c:v>0.74647887323943662</c:v>
                </c:pt>
                <c:pt idx="32">
                  <c:v>0.1</c:v>
                </c:pt>
                <c:pt idx="33">
                  <c:v>0.9375</c:v>
                </c:pt>
                <c:pt idx="34">
                  <c:v>0.88888888888888884</c:v>
                </c:pt>
                <c:pt idx="35">
                  <c:v>0.73275862068965514</c:v>
                </c:pt>
                <c:pt idx="36">
                  <c:v>0.48351648351648352</c:v>
                </c:pt>
                <c:pt idx="37">
                  <c:v>0.93406593406593408</c:v>
                </c:pt>
                <c:pt idx="38">
                  <c:v>0.71590909090909094</c:v>
                </c:pt>
                <c:pt idx="39">
                  <c:v>0.75</c:v>
                </c:pt>
                <c:pt idx="40">
                  <c:v>0.14141414141414141</c:v>
                </c:pt>
                <c:pt idx="41">
                  <c:v>0.91919191919191923</c:v>
                </c:pt>
                <c:pt idx="42">
                  <c:v>0.55686011405568603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E-4D5A-95C4-CC3EB2CBE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9027743"/>
        <c:axId val="95490623"/>
      </c:barChart>
      <c:catAx>
        <c:axId val="67902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490623"/>
        <c:crosses val="autoZero"/>
        <c:auto val="1"/>
        <c:lblAlgn val="ctr"/>
        <c:lblOffset val="100"/>
        <c:noMultiLvlLbl val="0"/>
      </c:catAx>
      <c:valAx>
        <c:axId val="9549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566813</xdr:colOff>
      <xdr:row>146</xdr:row>
      <xdr:rowOff>156503</xdr:rowOff>
    </xdr:from>
    <xdr:to>
      <xdr:col>13</xdr:col>
      <xdr:colOff>309563</xdr:colOff>
      <xdr:row>190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268B89F-E9B6-4602-A9CC-CF1BA672D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1202870</xdr:colOff>
      <xdr:row>95</xdr:row>
      <xdr:rowOff>136071</xdr:rowOff>
    </xdr:from>
    <xdr:to>
      <xdr:col>5</xdr:col>
      <xdr:colOff>1034142</xdr:colOff>
      <xdr:row>119</xdr:row>
      <xdr:rowOff>174170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3FFBE7A-0E92-45C9-A4DF-CB02C86F5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3777AC6F-A558-4531-97E4-CFE356D1661F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230F85-3EA1-4D11-8AB2-C7DF312E5433}" name="dataPos1" displayName="dataPos1" ref="A1:F16" totalsRowShown="0">
  <autoFilter ref="A1:F16" xr:uid="{4BE3E086-BAEB-4D47-9F2E-B764AEDF9DA3}"/>
  <tableColumns count="6">
    <tableColumn id="1" xr3:uid="{5CF4B04C-3C72-4D23-9F7C-CB1DDECC4929}" name="ID"/>
    <tableColumn id="2" xr3:uid="{3CDF9FFA-68D4-40CF-8393-9A8530FA27C1}" name=" Date" dataDxfId="2"/>
    <tableColumn id="3" xr3:uid="{7417B602-6CAB-4523-A764-9327B6D9FE7C}" name=" Name of the company" dataDxfId="1"/>
    <tableColumn id="4" xr3:uid="{01E49EBD-97C0-4AEC-965B-FED5D9804F2F}" name=" Name of the product" dataDxfId="0"/>
    <tableColumn id="5" xr3:uid="{25E405EB-ED9A-43E7-BBD0-D6FF901020BA}" name=" Produced, mln r"/>
    <tableColumn id="6" xr3:uid="{E0D5A66C-F44D-404B-9944-A23C2E201755}" name=" Including export, mln 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7522-06C7-4C63-99EC-33B594461E2D}">
  <dimension ref="A1:F16"/>
  <sheetViews>
    <sheetView workbookViewId="0">
      <selection activeCell="J11" sqref="J11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22.6640625" bestFit="1" customWidth="1"/>
    <col min="4" max="4" width="36.33203125" bestFit="1" customWidth="1"/>
    <col min="5" max="5" width="17.21875" bestFit="1" customWidth="1"/>
    <col min="6" max="6" width="2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5">
        <v>43101</v>
      </c>
      <c r="C2" s="6" t="s">
        <v>6</v>
      </c>
      <c r="D2" s="6" t="s">
        <v>7</v>
      </c>
      <c r="E2">
        <v>99</v>
      </c>
      <c r="F2">
        <v>0</v>
      </c>
    </row>
    <row r="3" spans="1:6" x14ac:dyDescent="0.3">
      <c r="A3">
        <v>2</v>
      </c>
      <c r="B3" s="5">
        <v>43504</v>
      </c>
      <c r="C3" s="6" t="s">
        <v>8</v>
      </c>
      <c r="D3" s="6" t="s">
        <v>9</v>
      </c>
      <c r="E3">
        <v>34</v>
      </c>
      <c r="F3">
        <v>0</v>
      </c>
    </row>
    <row r="4" spans="1:6" x14ac:dyDescent="0.3">
      <c r="A4">
        <v>3</v>
      </c>
      <c r="B4" s="5">
        <v>43905</v>
      </c>
      <c r="C4" s="6" t="s">
        <v>10</v>
      </c>
      <c r="D4" s="6" t="s">
        <v>11</v>
      </c>
      <c r="E4">
        <v>89</v>
      </c>
      <c r="F4">
        <v>0</v>
      </c>
    </row>
    <row r="5" spans="1:6" x14ac:dyDescent="0.3">
      <c r="A5">
        <v>4</v>
      </c>
      <c r="B5" s="5">
        <v>44308</v>
      </c>
      <c r="C5" s="6" t="s">
        <v>12</v>
      </c>
      <c r="D5" s="6" t="s">
        <v>13</v>
      </c>
      <c r="E5">
        <v>91</v>
      </c>
      <c r="F5">
        <v>0</v>
      </c>
    </row>
    <row r="6" spans="1:6" x14ac:dyDescent="0.3">
      <c r="A6">
        <v>5</v>
      </c>
      <c r="B6" s="5">
        <v>44682</v>
      </c>
      <c r="C6" s="6" t="s">
        <v>14</v>
      </c>
      <c r="D6" s="6" t="s">
        <v>15</v>
      </c>
      <c r="E6">
        <v>79</v>
      </c>
      <c r="F6">
        <v>0</v>
      </c>
    </row>
    <row r="7" spans="1:6" x14ac:dyDescent="0.3">
      <c r="A7">
        <v>6</v>
      </c>
      <c r="B7" s="5">
        <v>45085</v>
      </c>
      <c r="C7" s="6" t="s">
        <v>16</v>
      </c>
      <c r="D7" s="6" t="s">
        <v>17</v>
      </c>
      <c r="E7">
        <v>29</v>
      </c>
      <c r="F7">
        <v>0</v>
      </c>
    </row>
    <row r="8" spans="1:6" x14ac:dyDescent="0.3">
      <c r="A8">
        <v>7</v>
      </c>
      <c r="B8" s="5">
        <v>45488</v>
      </c>
      <c r="C8" s="6" t="s">
        <v>18</v>
      </c>
      <c r="D8" s="6" t="s">
        <v>19</v>
      </c>
      <c r="E8">
        <v>58</v>
      </c>
      <c r="F8">
        <v>0</v>
      </c>
    </row>
    <row r="9" spans="1:6" x14ac:dyDescent="0.3">
      <c r="A9">
        <v>8</v>
      </c>
      <c r="B9" s="5">
        <v>45891</v>
      </c>
      <c r="C9" s="6" t="s">
        <v>20</v>
      </c>
      <c r="D9" s="6" t="s">
        <v>21</v>
      </c>
      <c r="E9">
        <v>98</v>
      </c>
      <c r="F9">
        <v>0</v>
      </c>
    </row>
    <row r="10" spans="1:6" x14ac:dyDescent="0.3">
      <c r="A10">
        <v>9</v>
      </c>
      <c r="B10" s="5">
        <v>43344</v>
      </c>
      <c r="C10" s="6" t="s">
        <v>22</v>
      </c>
      <c r="D10" s="6" t="s">
        <v>23</v>
      </c>
      <c r="E10">
        <v>4</v>
      </c>
      <c r="F10">
        <v>0</v>
      </c>
    </row>
    <row r="11" spans="1:6" x14ac:dyDescent="0.3">
      <c r="A11">
        <v>10</v>
      </c>
      <c r="B11" s="5">
        <v>43746</v>
      </c>
      <c r="C11" s="6" t="s">
        <v>24</v>
      </c>
      <c r="D11" s="6" t="s">
        <v>25</v>
      </c>
      <c r="E11">
        <v>91</v>
      </c>
      <c r="F11">
        <v>0</v>
      </c>
    </row>
    <row r="12" spans="1:6" x14ac:dyDescent="0.3">
      <c r="A12">
        <v>11</v>
      </c>
      <c r="B12" s="5">
        <v>44150</v>
      </c>
      <c r="C12" s="6" t="s">
        <v>26</v>
      </c>
      <c r="D12" s="6" t="s">
        <v>27</v>
      </c>
      <c r="E12">
        <v>88</v>
      </c>
      <c r="F12">
        <v>0</v>
      </c>
    </row>
    <row r="13" spans="1:6" x14ac:dyDescent="0.3">
      <c r="A13">
        <v>12</v>
      </c>
      <c r="B13" s="5">
        <v>44552</v>
      </c>
      <c r="C13" s="6" t="s">
        <v>26</v>
      </c>
      <c r="D13" s="6" t="s">
        <v>28</v>
      </c>
      <c r="E13">
        <v>60</v>
      </c>
      <c r="F13">
        <v>0</v>
      </c>
    </row>
    <row r="14" spans="1:6" x14ac:dyDescent="0.3">
      <c r="A14">
        <v>13</v>
      </c>
      <c r="B14" s="5">
        <v>44562</v>
      </c>
      <c r="C14" s="6" t="s">
        <v>29</v>
      </c>
      <c r="D14" s="6" t="s">
        <v>30</v>
      </c>
      <c r="E14">
        <v>64</v>
      </c>
      <c r="F14">
        <v>0</v>
      </c>
    </row>
    <row r="15" spans="1:6" x14ac:dyDescent="0.3">
      <c r="A15">
        <v>14</v>
      </c>
      <c r="B15" s="5">
        <v>44965</v>
      </c>
      <c r="C15" s="6" t="s">
        <v>31</v>
      </c>
      <c r="D15" s="6" t="s">
        <v>32</v>
      </c>
      <c r="E15">
        <v>26</v>
      </c>
      <c r="F15">
        <v>0</v>
      </c>
    </row>
    <row r="16" spans="1:6" x14ac:dyDescent="0.3">
      <c r="A16">
        <v>15</v>
      </c>
      <c r="B16" s="5">
        <v>45366</v>
      </c>
      <c r="C16" s="6" t="s">
        <v>33</v>
      </c>
      <c r="D16" s="6" t="s">
        <v>34</v>
      </c>
      <c r="E16">
        <v>7</v>
      </c>
      <c r="F1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7557-38FB-4B20-82A1-EBD87F45D093}">
  <dimension ref="A1:V197"/>
  <sheetViews>
    <sheetView tabSelected="1" topLeftCell="A18" zoomScale="70" zoomScaleNormal="70" workbookViewId="0">
      <selection sqref="A1:F94"/>
    </sheetView>
  </sheetViews>
  <sheetFormatPr defaultRowHeight="14.4" outlineLevelRow="2" x14ac:dyDescent="0.3"/>
  <cols>
    <col min="1" max="1" width="10.88671875" bestFit="1" customWidth="1"/>
    <col min="2" max="2" width="23.88671875" bestFit="1" customWidth="1"/>
    <col min="3" max="3" width="26.5546875" bestFit="1" customWidth="1"/>
    <col min="4" max="4" width="34.77734375" bestFit="1" customWidth="1"/>
    <col min="5" max="5" width="21.88671875" bestFit="1" customWidth="1"/>
    <col min="6" max="6" width="17.109375" bestFit="1" customWidth="1"/>
    <col min="7" max="7" width="16.109375" bestFit="1" customWidth="1"/>
    <col min="19" max="19" width="8.44140625" bestFit="1" customWidth="1"/>
    <col min="20" max="20" width="11.21875" bestFit="1" customWidth="1"/>
    <col min="21" max="21" width="27.109375" bestFit="1" customWidth="1"/>
    <col min="22" max="22" width="35.6640625" bestFit="1" customWidth="1"/>
    <col min="23" max="23" width="10.88671875" bestFit="1" customWidth="1"/>
    <col min="24" max="24" width="23.88671875" bestFit="1" customWidth="1"/>
    <col min="25" max="25" width="35.21875" bestFit="1" customWidth="1"/>
    <col min="26" max="26" width="23" bestFit="1" customWidth="1"/>
    <col min="27" max="27" width="18.21875" bestFit="1" customWidth="1"/>
  </cols>
  <sheetData>
    <row r="1" spans="1:7" x14ac:dyDescent="0.3">
      <c r="A1" t="s">
        <v>36</v>
      </c>
      <c r="B1" s="22" t="s">
        <v>37</v>
      </c>
      <c r="C1" s="22" t="s">
        <v>38</v>
      </c>
      <c r="D1" t="s">
        <v>39</v>
      </c>
      <c r="E1" t="s">
        <v>40</v>
      </c>
      <c r="F1" t="s">
        <v>110</v>
      </c>
    </row>
    <row r="2" spans="1:7" hidden="1" outlineLevel="2" x14ac:dyDescent="0.3">
      <c r="A2" s="5">
        <v>44150</v>
      </c>
      <c r="B2" s="22" t="s">
        <v>58</v>
      </c>
      <c r="C2" s="22" t="s">
        <v>59</v>
      </c>
      <c r="D2">
        <v>88</v>
      </c>
      <c r="E2">
        <v>56</v>
      </c>
      <c r="F2" s="20">
        <f>E2/D2</f>
        <v>0.63636363636363635</v>
      </c>
      <c r="G2" s="20"/>
    </row>
    <row r="3" spans="1:7" hidden="1" outlineLevel="2" x14ac:dyDescent="0.3">
      <c r="A3" s="5">
        <v>44552</v>
      </c>
      <c r="B3" s="22" t="s">
        <v>58</v>
      </c>
      <c r="C3" s="22" t="s">
        <v>60</v>
      </c>
      <c r="D3">
        <v>60</v>
      </c>
      <c r="E3">
        <v>27</v>
      </c>
      <c r="F3" s="20">
        <f t="shared" ref="F3:F66" si="0">E3/D3</f>
        <v>0.45</v>
      </c>
      <c r="G3" s="20"/>
    </row>
    <row r="4" spans="1:7" hidden="1" outlineLevel="2" x14ac:dyDescent="0.3">
      <c r="A4" s="5">
        <v>44150</v>
      </c>
      <c r="B4" s="22" t="s">
        <v>58</v>
      </c>
      <c r="C4" s="22" t="s">
        <v>59</v>
      </c>
      <c r="D4">
        <v>88</v>
      </c>
      <c r="E4">
        <v>12</v>
      </c>
      <c r="F4" s="20">
        <f t="shared" si="0"/>
        <v>0.13636363636363635</v>
      </c>
      <c r="G4" s="20"/>
    </row>
    <row r="5" spans="1:7" hidden="1" outlineLevel="2" x14ac:dyDescent="0.3">
      <c r="A5" s="5">
        <v>44552</v>
      </c>
      <c r="B5" s="22" t="s">
        <v>58</v>
      </c>
      <c r="C5" s="22" t="s">
        <v>60</v>
      </c>
      <c r="D5">
        <v>60</v>
      </c>
      <c r="E5">
        <v>38</v>
      </c>
      <c r="F5" s="20">
        <f t="shared" si="0"/>
        <v>0.6333333333333333</v>
      </c>
      <c r="G5" s="20"/>
    </row>
    <row r="6" spans="1:7" outlineLevel="1" collapsed="1" x14ac:dyDescent="0.3">
      <c r="A6" s="5"/>
      <c r="B6" s="21" t="s">
        <v>111</v>
      </c>
      <c r="C6" s="22"/>
      <c r="D6">
        <f>SUBTOTAL(9,D2:D5)</f>
        <v>296</v>
      </c>
      <c r="E6">
        <f>SUBTOTAL(9,E2:E5)</f>
        <v>133</v>
      </c>
      <c r="F6" s="20">
        <f t="shared" si="0"/>
        <v>0.44932432432432434</v>
      </c>
      <c r="G6" s="20"/>
    </row>
    <row r="7" spans="1:7" hidden="1" outlineLevel="2" x14ac:dyDescent="0.3">
      <c r="A7" s="5">
        <v>45488</v>
      </c>
      <c r="B7" s="22" t="s">
        <v>105</v>
      </c>
      <c r="C7" s="22" t="s">
        <v>42</v>
      </c>
      <c r="D7">
        <v>120</v>
      </c>
      <c r="E7">
        <v>102</v>
      </c>
      <c r="F7" s="20">
        <f t="shared" si="0"/>
        <v>0.85</v>
      </c>
      <c r="G7" s="20"/>
    </row>
    <row r="8" spans="1:7" outlineLevel="1" collapsed="1" x14ac:dyDescent="0.3">
      <c r="A8" s="5"/>
      <c r="B8" s="23" t="s">
        <v>112</v>
      </c>
      <c r="C8" s="22"/>
      <c r="D8">
        <f>SUBTOTAL(9,D7:D7)</f>
        <v>120</v>
      </c>
      <c r="E8">
        <f>SUBTOTAL(9,E7:E7)</f>
        <v>102</v>
      </c>
      <c r="F8" s="20">
        <f t="shared" si="0"/>
        <v>0.85</v>
      </c>
      <c r="G8" s="20"/>
    </row>
    <row r="9" spans="1:7" hidden="1" outlineLevel="2" x14ac:dyDescent="0.3">
      <c r="A9" s="5">
        <v>45366</v>
      </c>
      <c r="B9" s="22" t="s">
        <v>65</v>
      </c>
      <c r="C9" s="22" t="s">
        <v>66</v>
      </c>
      <c r="D9">
        <v>7</v>
      </c>
      <c r="E9">
        <v>3</v>
      </c>
      <c r="F9" s="20">
        <f t="shared" si="0"/>
        <v>0.42857142857142855</v>
      </c>
      <c r="G9" s="20"/>
    </row>
    <row r="10" spans="1:7" outlineLevel="1" collapsed="1" x14ac:dyDescent="0.3">
      <c r="A10" s="5"/>
      <c r="B10" s="23" t="s">
        <v>113</v>
      </c>
      <c r="C10" s="22"/>
      <c r="D10">
        <f>SUBTOTAL(9,D9:D9)</f>
        <v>7</v>
      </c>
      <c r="E10">
        <f>SUBTOTAL(9,E9:E9)</f>
        <v>3</v>
      </c>
      <c r="F10" s="20">
        <f t="shared" si="0"/>
        <v>0.42857142857142855</v>
      </c>
      <c r="G10" s="20"/>
    </row>
    <row r="11" spans="1:7" hidden="1" outlineLevel="2" x14ac:dyDescent="0.3">
      <c r="A11" s="5">
        <v>45366</v>
      </c>
      <c r="B11" s="22" t="s">
        <v>74</v>
      </c>
      <c r="C11" s="22" t="s">
        <v>157</v>
      </c>
      <c r="D11">
        <v>7</v>
      </c>
      <c r="E11">
        <v>0</v>
      </c>
      <c r="F11" s="20">
        <f t="shared" si="0"/>
        <v>0</v>
      </c>
      <c r="G11" s="20"/>
    </row>
    <row r="12" spans="1:7" outlineLevel="1" collapsed="1" x14ac:dyDescent="0.3">
      <c r="A12" s="5"/>
      <c r="B12" s="23" t="s">
        <v>114</v>
      </c>
      <c r="C12" s="22"/>
      <c r="D12">
        <f>SUBTOTAL(9,D11:D11)</f>
        <v>7</v>
      </c>
      <c r="E12">
        <f>SUBTOTAL(9,E11:E11)</f>
        <v>0</v>
      </c>
      <c r="F12" s="20">
        <f t="shared" si="0"/>
        <v>0</v>
      </c>
      <c r="G12" s="20"/>
    </row>
    <row r="13" spans="1:7" hidden="1" outlineLevel="2" x14ac:dyDescent="0.3">
      <c r="A13" s="5">
        <v>43344</v>
      </c>
      <c r="B13" s="22" t="s">
        <v>107</v>
      </c>
      <c r="C13" s="22" t="s">
        <v>46</v>
      </c>
      <c r="D13">
        <v>95</v>
      </c>
      <c r="E13">
        <v>47</v>
      </c>
      <c r="F13" s="20">
        <f t="shared" si="0"/>
        <v>0.49473684210526314</v>
      </c>
      <c r="G13" s="20"/>
    </row>
    <row r="14" spans="1:7" outlineLevel="1" collapsed="1" x14ac:dyDescent="0.3">
      <c r="A14" s="5"/>
      <c r="B14" s="23" t="s">
        <v>115</v>
      </c>
      <c r="C14" s="22"/>
      <c r="D14">
        <f>SUBTOTAL(9,D13:D13)</f>
        <v>95</v>
      </c>
      <c r="E14">
        <f>SUBTOTAL(9,E13:E13)</f>
        <v>47</v>
      </c>
      <c r="F14" s="20">
        <f t="shared" si="0"/>
        <v>0.49473684210526314</v>
      </c>
      <c r="G14" s="20"/>
    </row>
    <row r="15" spans="1:7" hidden="1" outlineLevel="2" x14ac:dyDescent="0.3">
      <c r="A15" s="5">
        <v>43905</v>
      </c>
      <c r="B15" s="22" t="s">
        <v>45</v>
      </c>
      <c r="C15" s="22" t="s">
        <v>46</v>
      </c>
      <c r="D15">
        <v>89</v>
      </c>
      <c r="E15">
        <v>71</v>
      </c>
      <c r="F15" s="20">
        <f t="shared" si="0"/>
        <v>0.797752808988764</v>
      </c>
      <c r="G15" s="20"/>
    </row>
    <row r="16" spans="1:7" outlineLevel="1" collapsed="1" x14ac:dyDescent="0.3">
      <c r="A16" s="5"/>
      <c r="B16" s="23" t="s">
        <v>116</v>
      </c>
      <c r="C16" s="22"/>
      <c r="D16">
        <f>SUBTOTAL(9,D15:D15)</f>
        <v>89</v>
      </c>
      <c r="E16">
        <f>SUBTOTAL(9,E15:E15)</f>
        <v>71</v>
      </c>
      <c r="F16" s="20">
        <f t="shared" si="0"/>
        <v>0.797752808988764</v>
      </c>
      <c r="G16" s="20"/>
    </row>
    <row r="17" spans="1:7" hidden="1" outlineLevel="2" x14ac:dyDescent="0.3">
      <c r="A17" s="5">
        <v>43905</v>
      </c>
      <c r="B17" s="22" t="s">
        <v>69</v>
      </c>
      <c r="C17" s="22" t="s">
        <v>46</v>
      </c>
      <c r="D17">
        <v>89</v>
      </c>
      <c r="E17">
        <v>33</v>
      </c>
      <c r="F17" s="20">
        <f t="shared" si="0"/>
        <v>0.3707865168539326</v>
      </c>
      <c r="G17" s="20"/>
    </row>
    <row r="18" spans="1:7" outlineLevel="1" collapsed="1" x14ac:dyDescent="0.3">
      <c r="A18" s="5"/>
      <c r="B18" s="23" t="s">
        <v>117</v>
      </c>
      <c r="C18" s="22"/>
      <c r="D18">
        <f>SUBTOTAL(9,D17:D17)</f>
        <v>89</v>
      </c>
      <c r="E18">
        <f>SUBTOTAL(9,E17:E17)</f>
        <v>33</v>
      </c>
      <c r="F18" s="20">
        <f t="shared" si="0"/>
        <v>0.3707865168539326</v>
      </c>
      <c r="G18" s="20"/>
    </row>
    <row r="19" spans="1:7" hidden="1" outlineLevel="2" x14ac:dyDescent="0.3">
      <c r="A19" s="5">
        <v>43504</v>
      </c>
      <c r="B19" s="22" t="s">
        <v>43</v>
      </c>
      <c r="C19" s="22" t="s">
        <v>44</v>
      </c>
      <c r="D19">
        <v>34</v>
      </c>
      <c r="E19">
        <v>28</v>
      </c>
      <c r="F19" s="20">
        <f t="shared" si="0"/>
        <v>0.82352941176470584</v>
      </c>
      <c r="G19" s="20"/>
    </row>
    <row r="20" spans="1:7" outlineLevel="1" collapsed="1" x14ac:dyDescent="0.3">
      <c r="A20" s="5"/>
      <c r="B20" s="23" t="s">
        <v>118</v>
      </c>
      <c r="C20" s="22"/>
      <c r="D20">
        <f>SUBTOTAL(9,D19:D19)</f>
        <v>34</v>
      </c>
      <c r="E20">
        <f>SUBTOTAL(9,E19:E19)</f>
        <v>28</v>
      </c>
      <c r="F20" s="20">
        <f t="shared" si="0"/>
        <v>0.82352941176470584</v>
      </c>
      <c r="G20" s="20"/>
    </row>
    <row r="21" spans="1:7" hidden="1" outlineLevel="2" x14ac:dyDescent="0.3">
      <c r="A21" s="5">
        <v>43504</v>
      </c>
      <c r="B21" s="22" t="s">
        <v>68</v>
      </c>
      <c r="C21" s="22" t="s">
        <v>44</v>
      </c>
      <c r="D21">
        <v>34</v>
      </c>
      <c r="E21">
        <v>16</v>
      </c>
      <c r="F21" s="20">
        <f t="shared" si="0"/>
        <v>0.47058823529411764</v>
      </c>
      <c r="G21" s="20"/>
    </row>
    <row r="22" spans="1:7" outlineLevel="1" collapsed="1" x14ac:dyDescent="0.3">
      <c r="A22" s="5"/>
      <c r="B22" s="23" t="s">
        <v>119</v>
      </c>
      <c r="C22" s="22"/>
      <c r="D22">
        <f>SUBTOTAL(9,D21:D21)</f>
        <v>34</v>
      </c>
      <c r="E22">
        <f>SUBTOTAL(9,E21:E21)</f>
        <v>16</v>
      </c>
      <c r="F22" s="20">
        <f t="shared" si="0"/>
        <v>0.47058823529411764</v>
      </c>
      <c r="G22" s="20"/>
    </row>
    <row r="23" spans="1:7" hidden="1" outlineLevel="2" x14ac:dyDescent="0.3">
      <c r="A23" s="5">
        <v>43746</v>
      </c>
      <c r="B23" s="22" t="s">
        <v>57</v>
      </c>
      <c r="C23" s="22" t="s">
        <v>154</v>
      </c>
      <c r="D23">
        <v>91</v>
      </c>
      <c r="E23">
        <v>19</v>
      </c>
      <c r="F23" s="20">
        <f t="shared" si="0"/>
        <v>0.2087912087912088</v>
      </c>
      <c r="G23" s="20"/>
    </row>
    <row r="24" spans="1:7" hidden="1" outlineLevel="2" x14ac:dyDescent="0.3">
      <c r="A24" s="5">
        <v>43746</v>
      </c>
      <c r="B24" s="22" t="s">
        <v>57</v>
      </c>
      <c r="C24" s="22" t="s">
        <v>154</v>
      </c>
      <c r="D24">
        <v>91</v>
      </c>
      <c r="E24">
        <v>41</v>
      </c>
      <c r="F24" s="20">
        <f t="shared" si="0"/>
        <v>0.45054945054945056</v>
      </c>
      <c r="G24" s="20"/>
    </row>
    <row r="25" spans="1:7" outlineLevel="1" collapsed="1" x14ac:dyDescent="0.3">
      <c r="A25" s="5"/>
      <c r="B25" s="23" t="s">
        <v>120</v>
      </c>
      <c r="C25" s="22"/>
      <c r="D25">
        <f>SUBTOTAL(9,D23:D24)</f>
        <v>182</v>
      </c>
      <c r="E25">
        <f>SUBTOTAL(9,E23:E24)</f>
        <v>60</v>
      </c>
      <c r="F25" s="20">
        <f t="shared" si="0"/>
        <v>0.32967032967032966</v>
      </c>
      <c r="G25" s="20"/>
    </row>
    <row r="26" spans="1:7" hidden="1" outlineLevel="2" x14ac:dyDescent="0.3">
      <c r="A26" s="5">
        <v>45891</v>
      </c>
      <c r="B26" s="22" t="s">
        <v>54</v>
      </c>
      <c r="C26" s="22" t="s">
        <v>55</v>
      </c>
      <c r="D26">
        <v>98</v>
      </c>
      <c r="E26">
        <v>82</v>
      </c>
      <c r="F26" s="20">
        <f t="shared" si="0"/>
        <v>0.83673469387755106</v>
      </c>
      <c r="G26" s="20"/>
    </row>
    <row r="27" spans="1:7" hidden="1" outlineLevel="2" x14ac:dyDescent="0.3">
      <c r="A27" s="5">
        <v>45891</v>
      </c>
      <c r="B27" s="22" t="s">
        <v>54</v>
      </c>
      <c r="C27" s="22" t="s">
        <v>55</v>
      </c>
      <c r="D27">
        <v>98</v>
      </c>
      <c r="E27">
        <v>7</v>
      </c>
      <c r="F27" s="20">
        <f t="shared" si="0"/>
        <v>7.1428571428571425E-2</v>
      </c>
      <c r="G27" s="20"/>
    </row>
    <row r="28" spans="1:7" outlineLevel="1" collapsed="1" x14ac:dyDescent="0.3">
      <c r="A28" s="5"/>
      <c r="B28" s="23" t="s">
        <v>121</v>
      </c>
      <c r="C28" s="22"/>
      <c r="D28">
        <f>SUBTOTAL(9,D26:D27)</f>
        <v>196</v>
      </c>
      <c r="E28">
        <f>SUBTOTAL(9,E26:E27)</f>
        <v>89</v>
      </c>
      <c r="F28" s="20">
        <f t="shared" si="0"/>
        <v>0.45408163265306123</v>
      </c>
      <c r="G28" s="20"/>
    </row>
    <row r="29" spans="1:7" hidden="1" outlineLevel="2" x14ac:dyDescent="0.3">
      <c r="A29" s="5">
        <v>43344</v>
      </c>
      <c r="B29" s="22" t="s">
        <v>56</v>
      </c>
      <c r="C29" s="22" t="s">
        <v>153</v>
      </c>
      <c r="D29">
        <v>4</v>
      </c>
      <c r="E29">
        <v>1</v>
      </c>
      <c r="F29" s="20">
        <f t="shared" si="0"/>
        <v>0.25</v>
      </c>
      <c r="G29" s="20"/>
    </row>
    <row r="30" spans="1:7" hidden="1" outlineLevel="2" x14ac:dyDescent="0.3">
      <c r="A30" s="5">
        <v>43344</v>
      </c>
      <c r="B30" s="22" t="s">
        <v>56</v>
      </c>
      <c r="C30" s="22" t="s">
        <v>153</v>
      </c>
      <c r="D30">
        <v>4</v>
      </c>
      <c r="E30">
        <v>4</v>
      </c>
      <c r="F30" s="20">
        <f t="shared" si="0"/>
        <v>1</v>
      </c>
      <c r="G30" s="20"/>
    </row>
    <row r="31" spans="1:7" outlineLevel="1" collapsed="1" x14ac:dyDescent="0.3">
      <c r="A31" s="5"/>
      <c r="B31" s="23" t="s">
        <v>122</v>
      </c>
      <c r="C31" s="22"/>
      <c r="D31">
        <f>SUBTOTAL(9,D29:D30)</f>
        <v>8</v>
      </c>
      <c r="E31">
        <f>SUBTOTAL(9,E29:E30)</f>
        <v>5</v>
      </c>
      <c r="F31" s="20">
        <f t="shared" si="0"/>
        <v>0.625</v>
      </c>
      <c r="G31" s="20"/>
    </row>
    <row r="32" spans="1:7" hidden="1" outlineLevel="2" x14ac:dyDescent="0.3">
      <c r="A32" s="5">
        <v>43101</v>
      </c>
      <c r="B32" s="22" t="s">
        <v>93</v>
      </c>
      <c r="C32" s="22" t="s">
        <v>94</v>
      </c>
      <c r="D32">
        <v>33</v>
      </c>
      <c r="E32">
        <v>13</v>
      </c>
      <c r="F32" s="20">
        <f t="shared" si="0"/>
        <v>0.39393939393939392</v>
      </c>
      <c r="G32" s="20"/>
    </row>
    <row r="33" spans="1:7" outlineLevel="1" collapsed="1" x14ac:dyDescent="0.3">
      <c r="A33" s="5"/>
      <c r="B33" s="23" t="s">
        <v>123</v>
      </c>
      <c r="C33" s="22"/>
      <c r="D33">
        <f>SUBTOTAL(9,D32:D32)</f>
        <v>33</v>
      </c>
      <c r="E33">
        <f>SUBTOTAL(9,E32:E32)</f>
        <v>13</v>
      </c>
      <c r="F33" s="20">
        <f t="shared" si="0"/>
        <v>0.39393939393939392</v>
      </c>
      <c r="G33" s="20"/>
    </row>
    <row r="34" spans="1:7" hidden="1" outlineLevel="2" x14ac:dyDescent="0.3">
      <c r="A34" s="5">
        <v>45085</v>
      </c>
      <c r="B34" s="22" t="s">
        <v>51</v>
      </c>
      <c r="C34" s="22" t="s">
        <v>52</v>
      </c>
      <c r="D34">
        <v>29</v>
      </c>
      <c r="E34">
        <v>12</v>
      </c>
      <c r="F34" s="20">
        <f t="shared" si="0"/>
        <v>0.41379310344827586</v>
      </c>
      <c r="G34" s="20"/>
    </row>
    <row r="35" spans="1:7" hidden="1" outlineLevel="2" x14ac:dyDescent="0.3">
      <c r="A35" s="5">
        <v>45085</v>
      </c>
      <c r="B35" s="22" t="s">
        <v>51</v>
      </c>
      <c r="C35" s="22" t="s">
        <v>52</v>
      </c>
      <c r="D35">
        <v>29</v>
      </c>
      <c r="E35">
        <v>2</v>
      </c>
      <c r="F35" s="20">
        <f t="shared" si="0"/>
        <v>6.8965517241379309E-2</v>
      </c>
      <c r="G35" s="20"/>
    </row>
    <row r="36" spans="1:7" outlineLevel="1" collapsed="1" x14ac:dyDescent="0.3">
      <c r="A36" s="5"/>
      <c r="B36" s="23" t="s">
        <v>124</v>
      </c>
      <c r="C36" s="22"/>
      <c r="D36">
        <f>SUBTOTAL(9,D34:D35)</f>
        <v>58</v>
      </c>
      <c r="E36">
        <f>SUBTOTAL(9,E34:E35)</f>
        <v>14</v>
      </c>
      <c r="F36" s="20">
        <f t="shared" si="0"/>
        <v>0.2413793103448276</v>
      </c>
      <c r="G36" s="20"/>
    </row>
    <row r="37" spans="1:7" hidden="1" outlineLevel="2" x14ac:dyDescent="0.3">
      <c r="A37" s="5">
        <v>43624</v>
      </c>
      <c r="B37" s="22" t="s">
        <v>79</v>
      </c>
      <c r="C37" s="22" t="s">
        <v>80</v>
      </c>
      <c r="D37">
        <v>46</v>
      </c>
      <c r="E37">
        <v>40</v>
      </c>
      <c r="F37" s="20">
        <f t="shared" si="0"/>
        <v>0.86956521739130432</v>
      </c>
      <c r="G37" s="20"/>
    </row>
    <row r="38" spans="1:7" outlineLevel="1" collapsed="1" x14ac:dyDescent="0.3">
      <c r="A38" s="5"/>
      <c r="B38" s="23" t="s">
        <v>125</v>
      </c>
      <c r="C38" s="22"/>
      <c r="D38">
        <f>SUBTOTAL(9,D37:D37)</f>
        <v>46</v>
      </c>
      <c r="E38">
        <f>SUBTOTAL(9,E37:E37)</f>
        <v>40</v>
      </c>
      <c r="F38" s="20">
        <f t="shared" si="0"/>
        <v>0.86956521739130432</v>
      </c>
      <c r="G38" s="20"/>
    </row>
    <row r="39" spans="1:7" hidden="1" outlineLevel="2" x14ac:dyDescent="0.3">
      <c r="A39" s="5">
        <v>44027</v>
      </c>
      <c r="B39" s="22" t="s">
        <v>81</v>
      </c>
      <c r="C39" s="22" t="s">
        <v>82</v>
      </c>
      <c r="D39">
        <v>97</v>
      </c>
      <c r="E39">
        <v>18</v>
      </c>
      <c r="F39" s="20">
        <f t="shared" si="0"/>
        <v>0.18556701030927836</v>
      </c>
      <c r="G39" s="20"/>
    </row>
    <row r="40" spans="1:7" outlineLevel="1" collapsed="1" x14ac:dyDescent="0.3">
      <c r="A40" s="5"/>
      <c r="B40" s="23" t="s">
        <v>126</v>
      </c>
      <c r="C40" s="22"/>
      <c r="D40">
        <f>SUBTOTAL(9,D39:D39)</f>
        <v>97</v>
      </c>
      <c r="E40">
        <f>SUBTOTAL(9,E39:E39)</f>
        <v>18</v>
      </c>
      <c r="F40" s="20">
        <f t="shared" si="0"/>
        <v>0.18556701030927836</v>
      </c>
      <c r="G40" s="20"/>
    </row>
    <row r="41" spans="1:7" hidden="1" outlineLevel="2" x14ac:dyDescent="0.3">
      <c r="A41" s="5">
        <v>45891</v>
      </c>
      <c r="B41" s="22" t="s">
        <v>106</v>
      </c>
      <c r="C41" s="22" t="s">
        <v>158</v>
      </c>
      <c r="D41">
        <v>34</v>
      </c>
      <c r="E41">
        <v>4</v>
      </c>
      <c r="F41" s="20">
        <f t="shared" si="0"/>
        <v>0.11764705882352941</v>
      </c>
      <c r="G41" s="20"/>
    </row>
    <row r="42" spans="1:7" outlineLevel="1" collapsed="1" x14ac:dyDescent="0.3">
      <c r="A42" s="5"/>
      <c r="B42" s="23" t="s">
        <v>127</v>
      </c>
      <c r="C42" s="22"/>
      <c r="D42">
        <f>SUBTOTAL(9,D41:D41)</f>
        <v>34</v>
      </c>
      <c r="E42">
        <f>SUBTOTAL(9,E41:E41)</f>
        <v>4</v>
      </c>
      <c r="F42" s="20">
        <f t="shared" si="0"/>
        <v>0.11764705882352941</v>
      </c>
      <c r="G42" s="20"/>
    </row>
    <row r="43" spans="1:7" hidden="1" outlineLevel="2" x14ac:dyDescent="0.3">
      <c r="A43" s="5">
        <v>44430</v>
      </c>
      <c r="B43" s="22" t="s">
        <v>83</v>
      </c>
      <c r="C43" s="22" t="s">
        <v>84</v>
      </c>
      <c r="D43">
        <v>10</v>
      </c>
      <c r="E43">
        <v>1</v>
      </c>
      <c r="F43" s="20">
        <f t="shared" si="0"/>
        <v>0.1</v>
      </c>
      <c r="G43" s="20"/>
    </row>
    <row r="44" spans="1:7" outlineLevel="1" collapsed="1" x14ac:dyDescent="0.3">
      <c r="A44" s="5"/>
      <c r="B44" s="23" t="s">
        <v>128</v>
      </c>
      <c r="C44" s="22"/>
      <c r="D44">
        <f>SUBTOTAL(9,D43:D43)</f>
        <v>10</v>
      </c>
      <c r="E44">
        <f>SUBTOTAL(9,E43:E43)</f>
        <v>1</v>
      </c>
      <c r="F44" s="20">
        <f t="shared" si="0"/>
        <v>0.1</v>
      </c>
      <c r="G44" s="20"/>
    </row>
    <row r="45" spans="1:7" hidden="1" outlineLevel="2" x14ac:dyDescent="0.3">
      <c r="A45" s="5">
        <v>44562</v>
      </c>
      <c r="B45" s="22" t="s">
        <v>155</v>
      </c>
      <c r="C45" s="22" t="s">
        <v>72</v>
      </c>
      <c r="D45">
        <v>64</v>
      </c>
      <c r="E45">
        <v>21</v>
      </c>
      <c r="F45" s="20">
        <f t="shared" si="0"/>
        <v>0.328125</v>
      </c>
      <c r="G45" s="20"/>
    </row>
    <row r="46" spans="1:7" outlineLevel="1" collapsed="1" x14ac:dyDescent="0.3">
      <c r="A46" s="5"/>
      <c r="B46" s="23" t="s">
        <v>159</v>
      </c>
      <c r="C46" s="22"/>
      <c r="D46">
        <f>SUBTOTAL(9,D45:D45)</f>
        <v>64</v>
      </c>
      <c r="E46">
        <f>SUBTOTAL(9,E45:E45)</f>
        <v>21</v>
      </c>
      <c r="F46" s="20">
        <f t="shared" si="0"/>
        <v>0.328125</v>
      </c>
      <c r="G46" s="20"/>
    </row>
    <row r="47" spans="1:7" hidden="1" outlineLevel="2" x14ac:dyDescent="0.3">
      <c r="A47" s="5">
        <v>43905</v>
      </c>
      <c r="B47" s="22" t="s">
        <v>97</v>
      </c>
      <c r="C47" s="22" t="s">
        <v>98</v>
      </c>
      <c r="D47">
        <v>34</v>
      </c>
      <c r="E47">
        <v>30</v>
      </c>
      <c r="F47" s="20">
        <f t="shared" si="0"/>
        <v>0.88235294117647056</v>
      </c>
      <c r="G47" s="20"/>
    </row>
    <row r="48" spans="1:7" outlineLevel="1" collapsed="1" x14ac:dyDescent="0.3">
      <c r="A48" s="5"/>
      <c r="B48" s="23" t="s">
        <v>129</v>
      </c>
      <c r="C48" s="22"/>
      <c r="D48">
        <f>SUBTOTAL(9,D47:D47)</f>
        <v>34</v>
      </c>
      <c r="E48">
        <f>SUBTOTAL(9,E47:E47)</f>
        <v>30</v>
      </c>
      <c r="F48" s="20">
        <f t="shared" si="0"/>
        <v>0.88235294117647056</v>
      </c>
      <c r="G48" s="20"/>
    </row>
    <row r="49" spans="1:7" hidden="1" outlineLevel="2" x14ac:dyDescent="0.3">
      <c r="A49" s="5">
        <v>43221</v>
      </c>
      <c r="B49" s="22" t="s">
        <v>77</v>
      </c>
      <c r="C49" s="22" t="s">
        <v>78</v>
      </c>
      <c r="D49">
        <v>86</v>
      </c>
      <c r="E49">
        <v>39</v>
      </c>
      <c r="F49" s="20">
        <f t="shared" si="0"/>
        <v>0.45348837209302323</v>
      </c>
      <c r="G49" s="20"/>
    </row>
    <row r="50" spans="1:7" outlineLevel="1" collapsed="1" x14ac:dyDescent="0.3">
      <c r="A50" s="5"/>
      <c r="B50" s="23" t="s">
        <v>130</v>
      </c>
      <c r="C50" s="22"/>
      <c r="D50">
        <f>SUBTOTAL(9,D49:D49)</f>
        <v>86</v>
      </c>
      <c r="E50">
        <f>SUBTOTAL(9,E49:E49)</f>
        <v>39</v>
      </c>
      <c r="F50" s="20">
        <f t="shared" si="0"/>
        <v>0.45348837209302323</v>
      </c>
      <c r="G50" s="20"/>
    </row>
    <row r="51" spans="1:7" hidden="1" outlineLevel="2" x14ac:dyDescent="0.3">
      <c r="A51" s="5">
        <v>44150</v>
      </c>
      <c r="B51" s="22" t="s">
        <v>109</v>
      </c>
      <c r="C51" s="22" t="s">
        <v>50</v>
      </c>
      <c r="D51">
        <v>79</v>
      </c>
      <c r="E51">
        <v>70</v>
      </c>
      <c r="F51" s="20">
        <f t="shared" si="0"/>
        <v>0.88607594936708856</v>
      </c>
      <c r="G51" s="20"/>
    </row>
    <row r="52" spans="1:7" outlineLevel="1" collapsed="1" x14ac:dyDescent="0.3">
      <c r="A52" s="5"/>
      <c r="B52" s="23" t="s">
        <v>131</v>
      </c>
      <c r="C52" s="22"/>
      <c r="D52">
        <f>SUBTOTAL(9,D51:D51)</f>
        <v>79</v>
      </c>
      <c r="E52">
        <f>SUBTOTAL(9,E51:E51)</f>
        <v>70</v>
      </c>
      <c r="F52" s="20">
        <f t="shared" si="0"/>
        <v>0.88607594936708856</v>
      </c>
      <c r="G52" s="20"/>
    </row>
    <row r="53" spans="1:7" hidden="1" outlineLevel="2" x14ac:dyDescent="0.3">
      <c r="A53" s="5">
        <v>44682</v>
      </c>
      <c r="B53" s="22" t="s">
        <v>49</v>
      </c>
      <c r="C53" s="22" t="s">
        <v>50</v>
      </c>
      <c r="D53">
        <v>79</v>
      </c>
      <c r="E53">
        <v>9</v>
      </c>
      <c r="F53" s="20">
        <f t="shared" si="0"/>
        <v>0.11392405063291139</v>
      </c>
      <c r="G53" s="20"/>
    </row>
    <row r="54" spans="1:7" outlineLevel="1" collapsed="1" x14ac:dyDescent="0.3">
      <c r="A54" s="5"/>
      <c r="B54" s="23" t="s">
        <v>132</v>
      </c>
      <c r="C54" s="22"/>
      <c r="D54">
        <f>SUBTOTAL(9,D53:D53)</f>
        <v>79</v>
      </c>
      <c r="E54">
        <f>SUBTOTAL(9,E53:E53)</f>
        <v>9</v>
      </c>
      <c r="F54" s="20">
        <f t="shared" si="0"/>
        <v>0.11392405063291139</v>
      </c>
      <c r="G54" s="20"/>
    </row>
    <row r="55" spans="1:7" hidden="1" outlineLevel="2" x14ac:dyDescent="0.3">
      <c r="A55" s="5">
        <v>44682</v>
      </c>
      <c r="B55" s="22" t="s">
        <v>71</v>
      </c>
      <c r="C55" s="22" t="s">
        <v>50</v>
      </c>
      <c r="D55">
        <v>79</v>
      </c>
      <c r="E55">
        <v>64</v>
      </c>
      <c r="F55" s="20">
        <f t="shared" si="0"/>
        <v>0.810126582278481</v>
      </c>
      <c r="G55" s="20"/>
    </row>
    <row r="56" spans="1:7" outlineLevel="1" collapsed="1" x14ac:dyDescent="0.3">
      <c r="A56" s="5"/>
      <c r="B56" s="23" t="s">
        <v>133</v>
      </c>
      <c r="C56" s="22"/>
      <c r="D56">
        <f>SUBTOTAL(9,D55:D55)</f>
        <v>79</v>
      </c>
      <c r="E56">
        <f>SUBTOTAL(9,E55:E55)</f>
        <v>64</v>
      </c>
      <c r="F56" s="20">
        <f t="shared" si="0"/>
        <v>0.810126582278481</v>
      </c>
      <c r="G56" s="20"/>
    </row>
    <row r="57" spans="1:7" hidden="1" outlineLevel="2" x14ac:dyDescent="0.3">
      <c r="A57" s="5">
        <v>44965</v>
      </c>
      <c r="B57" s="22" t="s">
        <v>63</v>
      </c>
      <c r="C57" s="22" t="s">
        <v>64</v>
      </c>
      <c r="D57">
        <v>26</v>
      </c>
      <c r="E57">
        <v>5</v>
      </c>
      <c r="F57" s="20">
        <f t="shared" si="0"/>
        <v>0.19230769230769232</v>
      </c>
      <c r="G57" s="20"/>
    </row>
    <row r="58" spans="1:7" outlineLevel="1" collapsed="1" x14ac:dyDescent="0.3">
      <c r="A58" s="5"/>
      <c r="B58" s="23" t="s">
        <v>134</v>
      </c>
      <c r="C58" s="22"/>
      <c r="D58">
        <f>SUBTOTAL(9,D57:D57)</f>
        <v>26</v>
      </c>
      <c r="E58">
        <f>SUBTOTAL(9,E57:E57)</f>
        <v>5</v>
      </c>
      <c r="F58" s="20">
        <f t="shared" si="0"/>
        <v>0.19230769230769232</v>
      </c>
      <c r="G58" s="20"/>
    </row>
    <row r="59" spans="1:7" hidden="1" outlineLevel="2" x14ac:dyDescent="0.3">
      <c r="A59" s="5">
        <v>44965</v>
      </c>
      <c r="B59" s="22" t="s">
        <v>73</v>
      </c>
      <c r="C59" s="22" t="s">
        <v>156</v>
      </c>
      <c r="D59">
        <v>26</v>
      </c>
      <c r="E59">
        <v>24</v>
      </c>
      <c r="F59" s="20">
        <f t="shared" si="0"/>
        <v>0.92307692307692313</v>
      </c>
      <c r="G59" s="20"/>
    </row>
    <row r="60" spans="1:7" outlineLevel="1" collapsed="1" x14ac:dyDescent="0.3">
      <c r="A60" s="5"/>
      <c r="B60" s="23" t="s">
        <v>135</v>
      </c>
      <c r="C60" s="22"/>
      <c r="D60">
        <f>SUBTOTAL(9,D59:D59)</f>
        <v>26</v>
      </c>
      <c r="E60">
        <f>SUBTOTAL(9,E59:E59)</f>
        <v>24</v>
      </c>
      <c r="F60" s="20">
        <f t="shared" si="0"/>
        <v>0.92307692307692313</v>
      </c>
      <c r="G60" s="20"/>
    </row>
    <row r="61" spans="1:7" hidden="1" outlineLevel="2" x14ac:dyDescent="0.3">
      <c r="A61" s="5">
        <v>44805</v>
      </c>
      <c r="B61" s="22" t="s">
        <v>85</v>
      </c>
      <c r="C61" s="22" t="s">
        <v>86</v>
      </c>
      <c r="D61">
        <v>84</v>
      </c>
      <c r="E61">
        <v>77</v>
      </c>
      <c r="F61" s="20">
        <f t="shared" si="0"/>
        <v>0.91666666666666663</v>
      </c>
      <c r="G61" s="20"/>
    </row>
    <row r="62" spans="1:7" outlineLevel="1" collapsed="1" x14ac:dyDescent="0.3">
      <c r="A62" s="5"/>
      <c r="B62" s="23" t="s">
        <v>136</v>
      </c>
      <c r="C62" s="22"/>
      <c r="D62">
        <f>SUBTOTAL(9,D61:D61)</f>
        <v>84</v>
      </c>
      <c r="E62">
        <f>SUBTOTAL(9,E61:E61)</f>
        <v>77</v>
      </c>
      <c r="F62" s="20">
        <f t="shared" si="0"/>
        <v>0.91666666666666663</v>
      </c>
      <c r="G62" s="20"/>
    </row>
    <row r="63" spans="1:7" hidden="1" outlineLevel="2" x14ac:dyDescent="0.3">
      <c r="A63" s="5">
        <v>43504</v>
      </c>
      <c r="B63" s="22" t="s">
        <v>95</v>
      </c>
      <c r="C63" s="22" t="s">
        <v>96</v>
      </c>
      <c r="D63">
        <v>3</v>
      </c>
      <c r="E63">
        <v>2</v>
      </c>
      <c r="F63" s="20">
        <f t="shared" si="0"/>
        <v>0.66666666666666663</v>
      </c>
      <c r="G63" s="20"/>
    </row>
    <row r="64" spans="1:7" outlineLevel="1" collapsed="1" x14ac:dyDescent="0.3">
      <c r="A64" s="5"/>
      <c r="B64" s="23" t="s">
        <v>137</v>
      </c>
      <c r="C64" s="22"/>
      <c r="D64">
        <f>SUBTOTAL(9,D63:D63)</f>
        <v>3</v>
      </c>
      <c r="E64">
        <f>SUBTOTAL(9,E63:E63)</f>
        <v>2</v>
      </c>
      <c r="F64" s="20">
        <f t="shared" si="0"/>
        <v>0.66666666666666663</v>
      </c>
      <c r="G64" s="20"/>
    </row>
    <row r="65" spans="1:7" hidden="1" outlineLevel="2" x14ac:dyDescent="0.3">
      <c r="A65" s="5">
        <v>45611</v>
      </c>
      <c r="B65" s="22" t="s">
        <v>89</v>
      </c>
      <c r="C65" s="22" t="s">
        <v>90</v>
      </c>
      <c r="D65">
        <v>9</v>
      </c>
      <c r="E65">
        <v>4</v>
      </c>
      <c r="F65" s="20">
        <f t="shared" si="0"/>
        <v>0.44444444444444442</v>
      </c>
      <c r="G65" s="20"/>
    </row>
    <row r="66" spans="1:7" outlineLevel="1" collapsed="1" x14ac:dyDescent="0.3">
      <c r="A66" s="5"/>
      <c r="B66" s="23" t="s">
        <v>138</v>
      </c>
      <c r="C66" s="22"/>
      <c r="D66">
        <f>SUBTOTAL(9,D65:D65)</f>
        <v>9</v>
      </c>
      <c r="E66">
        <f>SUBTOTAL(9,E65:E65)</f>
        <v>4</v>
      </c>
      <c r="F66" s="20">
        <f t="shared" si="0"/>
        <v>0.44444444444444442</v>
      </c>
      <c r="G66" s="20"/>
    </row>
    <row r="67" spans="1:7" hidden="1" outlineLevel="2" x14ac:dyDescent="0.3">
      <c r="A67" s="5">
        <v>46013</v>
      </c>
      <c r="B67" s="22" t="s">
        <v>91</v>
      </c>
      <c r="C67" s="22" t="s">
        <v>92</v>
      </c>
      <c r="D67">
        <v>74</v>
      </c>
      <c r="E67">
        <v>29</v>
      </c>
      <c r="F67" s="20">
        <f t="shared" ref="F67:F94" si="1">E67/D67</f>
        <v>0.39189189189189189</v>
      </c>
      <c r="G67" s="20"/>
    </row>
    <row r="68" spans="1:7" outlineLevel="1" collapsed="1" x14ac:dyDescent="0.3">
      <c r="A68" s="5"/>
      <c r="B68" s="23" t="s">
        <v>139</v>
      </c>
      <c r="C68" s="22"/>
      <c r="D68">
        <f>SUBTOTAL(9,D67:D67)</f>
        <v>74</v>
      </c>
      <c r="E68">
        <f>SUBTOTAL(9,E67:E67)</f>
        <v>29</v>
      </c>
      <c r="F68" s="20">
        <f t="shared" si="1"/>
        <v>0.39189189189189189</v>
      </c>
      <c r="G68" s="20"/>
    </row>
    <row r="69" spans="1:7" hidden="1" outlineLevel="2" x14ac:dyDescent="0.3">
      <c r="A69" s="5">
        <v>44308</v>
      </c>
      <c r="B69" s="22" t="s">
        <v>99</v>
      </c>
      <c r="C69" s="22" t="s">
        <v>100</v>
      </c>
      <c r="D69">
        <v>27</v>
      </c>
      <c r="E69">
        <v>15</v>
      </c>
      <c r="F69" s="20">
        <f t="shared" si="1"/>
        <v>0.55555555555555558</v>
      </c>
      <c r="G69" s="20"/>
    </row>
    <row r="70" spans="1:7" outlineLevel="1" collapsed="1" x14ac:dyDescent="0.3">
      <c r="A70" s="5"/>
      <c r="B70" s="23" t="s">
        <v>140</v>
      </c>
      <c r="C70" s="22"/>
      <c r="D70">
        <f>SUBTOTAL(9,D69:D69)</f>
        <v>27</v>
      </c>
      <c r="E70">
        <f>SUBTOTAL(9,E69:E69)</f>
        <v>15</v>
      </c>
      <c r="F70" s="20">
        <f t="shared" si="1"/>
        <v>0.55555555555555558</v>
      </c>
      <c r="G70" s="20"/>
    </row>
    <row r="71" spans="1:7" hidden="1" outlineLevel="2" x14ac:dyDescent="0.3">
      <c r="A71" s="5">
        <v>45207</v>
      </c>
      <c r="B71" s="22" t="s">
        <v>87</v>
      </c>
      <c r="C71" s="22" t="s">
        <v>88</v>
      </c>
      <c r="D71">
        <v>71</v>
      </c>
      <c r="E71">
        <v>53</v>
      </c>
      <c r="F71" s="20">
        <f t="shared" si="1"/>
        <v>0.74647887323943662</v>
      </c>
      <c r="G71" s="20"/>
    </row>
    <row r="72" spans="1:7" outlineLevel="1" collapsed="1" x14ac:dyDescent="0.3">
      <c r="A72" s="5"/>
      <c r="B72" s="23" t="s">
        <v>141</v>
      </c>
      <c r="C72" s="22"/>
      <c r="D72">
        <f>SUBTOTAL(9,D71:D71)</f>
        <v>71</v>
      </c>
      <c r="E72">
        <f>SUBTOTAL(9,E71:E71)</f>
        <v>53</v>
      </c>
      <c r="F72" s="20">
        <f t="shared" si="1"/>
        <v>0.74647887323943662</v>
      </c>
      <c r="G72" s="20"/>
    </row>
    <row r="73" spans="1:7" hidden="1" outlineLevel="2" x14ac:dyDescent="0.3">
      <c r="A73" s="5">
        <v>44682</v>
      </c>
      <c r="B73" s="22" t="s">
        <v>101</v>
      </c>
      <c r="C73" s="22" t="s">
        <v>102</v>
      </c>
      <c r="D73">
        <v>50</v>
      </c>
      <c r="E73">
        <v>5</v>
      </c>
      <c r="F73" s="20">
        <f t="shared" si="1"/>
        <v>0.1</v>
      </c>
      <c r="G73" s="20"/>
    </row>
    <row r="74" spans="1:7" outlineLevel="1" collapsed="1" x14ac:dyDescent="0.3">
      <c r="A74" s="5"/>
      <c r="B74" s="23" t="s">
        <v>142</v>
      </c>
      <c r="C74" s="22"/>
      <c r="D74">
        <f>SUBTOTAL(9,D73:D73)</f>
        <v>50</v>
      </c>
      <c r="E74">
        <f>SUBTOTAL(9,E73:E73)</f>
        <v>5</v>
      </c>
      <c r="F74" s="20">
        <f t="shared" si="1"/>
        <v>0.1</v>
      </c>
      <c r="G74" s="20"/>
    </row>
    <row r="75" spans="1:7" hidden="1" outlineLevel="2" x14ac:dyDescent="0.3">
      <c r="A75" s="5">
        <v>44562</v>
      </c>
      <c r="B75" s="22" t="s">
        <v>61</v>
      </c>
      <c r="C75" s="22" t="s">
        <v>62</v>
      </c>
      <c r="D75">
        <v>64</v>
      </c>
      <c r="E75">
        <v>60</v>
      </c>
      <c r="F75" s="20">
        <f t="shared" si="1"/>
        <v>0.9375</v>
      </c>
      <c r="G75" s="20"/>
    </row>
    <row r="76" spans="1:7" outlineLevel="1" collapsed="1" x14ac:dyDescent="0.3">
      <c r="A76" s="5"/>
      <c r="B76" s="23" t="s">
        <v>143</v>
      </c>
      <c r="C76" s="22"/>
      <c r="D76">
        <f>SUBTOTAL(9,D75:D75)</f>
        <v>64</v>
      </c>
      <c r="E76">
        <f>SUBTOTAL(9,E75:E75)</f>
        <v>60</v>
      </c>
      <c r="F76" s="20">
        <f t="shared" si="1"/>
        <v>0.9375</v>
      </c>
      <c r="G76" s="20"/>
    </row>
    <row r="77" spans="1:7" hidden="1" outlineLevel="2" x14ac:dyDescent="0.3">
      <c r="A77" s="5">
        <v>45085</v>
      </c>
      <c r="B77" s="22" t="s">
        <v>103</v>
      </c>
      <c r="C77" s="22" t="s">
        <v>104</v>
      </c>
      <c r="D77">
        <v>99</v>
      </c>
      <c r="E77">
        <v>88</v>
      </c>
      <c r="F77" s="20">
        <f t="shared" si="1"/>
        <v>0.88888888888888884</v>
      </c>
      <c r="G77" s="20"/>
    </row>
    <row r="78" spans="1:7" outlineLevel="1" collapsed="1" x14ac:dyDescent="0.3">
      <c r="A78" s="5"/>
      <c r="B78" s="23" t="s">
        <v>144</v>
      </c>
      <c r="C78" s="22"/>
      <c r="D78">
        <f>SUBTOTAL(9,D77:D77)</f>
        <v>99</v>
      </c>
      <c r="E78">
        <f>SUBTOTAL(9,E77:E77)</f>
        <v>88</v>
      </c>
      <c r="F78" s="20">
        <f t="shared" si="1"/>
        <v>0.88888888888888884</v>
      </c>
      <c r="G78" s="20"/>
    </row>
    <row r="79" spans="1:7" hidden="1" outlineLevel="2" x14ac:dyDescent="0.3">
      <c r="A79" s="5">
        <v>45488</v>
      </c>
      <c r="B79" s="22" t="s">
        <v>53</v>
      </c>
      <c r="C79" s="22" t="s">
        <v>152</v>
      </c>
      <c r="D79">
        <v>58</v>
      </c>
      <c r="E79">
        <v>35</v>
      </c>
      <c r="F79" s="20">
        <f t="shared" si="1"/>
        <v>0.60344827586206895</v>
      </c>
      <c r="G79" s="20"/>
    </row>
    <row r="80" spans="1:7" hidden="1" outlineLevel="2" x14ac:dyDescent="0.3">
      <c r="A80" s="5">
        <v>45488</v>
      </c>
      <c r="B80" s="22" t="s">
        <v>53</v>
      </c>
      <c r="C80" s="22" t="s">
        <v>152</v>
      </c>
      <c r="D80">
        <v>58</v>
      </c>
      <c r="E80">
        <v>50</v>
      </c>
      <c r="F80" s="20">
        <f t="shared" si="1"/>
        <v>0.86206896551724133</v>
      </c>
      <c r="G80" s="20"/>
    </row>
    <row r="81" spans="1:7" outlineLevel="1" collapsed="1" x14ac:dyDescent="0.3">
      <c r="A81" s="5"/>
      <c r="B81" s="23" t="s">
        <v>145</v>
      </c>
      <c r="C81" s="22"/>
      <c r="D81">
        <f>SUBTOTAL(9,D79:D80)</f>
        <v>116</v>
      </c>
      <c r="E81">
        <f>SUBTOTAL(9,E79:E80)</f>
        <v>85</v>
      </c>
      <c r="F81" s="20">
        <f t="shared" si="1"/>
        <v>0.73275862068965514</v>
      </c>
      <c r="G81" s="20"/>
    </row>
    <row r="82" spans="1:7" hidden="1" outlineLevel="2" x14ac:dyDescent="0.3">
      <c r="A82" s="5">
        <v>44308</v>
      </c>
      <c r="B82" s="22" t="s">
        <v>47</v>
      </c>
      <c r="C82" s="22" t="s">
        <v>48</v>
      </c>
      <c r="D82">
        <v>91</v>
      </c>
      <c r="E82">
        <v>44</v>
      </c>
      <c r="F82" s="20">
        <f t="shared" si="1"/>
        <v>0.48351648351648352</v>
      </c>
      <c r="G82" s="20"/>
    </row>
    <row r="83" spans="1:7" outlineLevel="1" collapsed="1" x14ac:dyDescent="0.3">
      <c r="A83" s="5"/>
      <c r="B83" s="23" t="s">
        <v>146</v>
      </c>
      <c r="C83" s="22"/>
      <c r="D83">
        <f>SUBTOTAL(9,D82:D82)</f>
        <v>91</v>
      </c>
      <c r="E83">
        <f>SUBTOTAL(9,E82:E82)</f>
        <v>44</v>
      </c>
      <c r="F83" s="20">
        <f t="shared" si="1"/>
        <v>0.48351648351648352</v>
      </c>
      <c r="G83" s="20"/>
    </row>
    <row r="84" spans="1:7" hidden="1" outlineLevel="2" x14ac:dyDescent="0.3">
      <c r="A84" s="5">
        <v>44308</v>
      </c>
      <c r="B84" s="22" t="s">
        <v>70</v>
      </c>
      <c r="C84" s="22" t="s">
        <v>48</v>
      </c>
      <c r="D84">
        <v>91</v>
      </c>
      <c r="E84">
        <v>85</v>
      </c>
      <c r="F84" s="20">
        <f t="shared" si="1"/>
        <v>0.93406593406593408</v>
      </c>
      <c r="G84" s="20"/>
    </row>
    <row r="85" spans="1:7" outlineLevel="1" collapsed="1" x14ac:dyDescent="0.3">
      <c r="A85" s="5"/>
      <c r="B85" s="23" t="s">
        <v>147</v>
      </c>
      <c r="C85" s="22"/>
      <c r="D85">
        <f>SUBTOTAL(9,D84:D84)</f>
        <v>91</v>
      </c>
      <c r="E85">
        <f>SUBTOTAL(9,E84:E84)</f>
        <v>85</v>
      </c>
      <c r="F85" s="20">
        <f t="shared" si="1"/>
        <v>0.93406593406593408</v>
      </c>
      <c r="G85" s="20"/>
    </row>
    <row r="86" spans="1:7" hidden="1" outlineLevel="2" x14ac:dyDescent="0.3">
      <c r="A86" s="5">
        <v>43746</v>
      </c>
      <c r="B86" s="22" t="s">
        <v>108</v>
      </c>
      <c r="C86" s="22" t="s">
        <v>48</v>
      </c>
      <c r="D86">
        <v>88</v>
      </c>
      <c r="E86">
        <v>63</v>
      </c>
      <c r="F86" s="20">
        <f t="shared" si="1"/>
        <v>0.71590909090909094</v>
      </c>
      <c r="G86" s="20"/>
    </row>
    <row r="87" spans="1:7" outlineLevel="1" collapsed="1" x14ac:dyDescent="0.3">
      <c r="A87" s="5"/>
      <c r="B87" s="23" t="s">
        <v>148</v>
      </c>
      <c r="C87" s="22"/>
      <c r="D87">
        <f>SUBTOTAL(9,D86:D86)</f>
        <v>88</v>
      </c>
      <c r="E87">
        <f>SUBTOTAL(9,E86:E86)</f>
        <v>63</v>
      </c>
      <c r="F87" s="20">
        <f t="shared" si="1"/>
        <v>0.71590909090909094</v>
      </c>
      <c r="G87" s="20"/>
    </row>
    <row r="88" spans="1:7" hidden="1" outlineLevel="2" x14ac:dyDescent="0.3">
      <c r="A88" s="5">
        <v>45769</v>
      </c>
      <c r="B88" s="22" t="s">
        <v>75</v>
      </c>
      <c r="C88" s="22" t="s">
        <v>76</v>
      </c>
      <c r="D88">
        <v>8</v>
      </c>
      <c r="E88">
        <v>6</v>
      </c>
      <c r="F88" s="20">
        <f t="shared" si="1"/>
        <v>0.75</v>
      </c>
      <c r="G88" s="20"/>
    </row>
    <row r="89" spans="1:7" outlineLevel="1" collapsed="1" x14ac:dyDescent="0.3">
      <c r="A89" s="5"/>
      <c r="B89" s="23" t="s">
        <v>149</v>
      </c>
      <c r="C89" s="22"/>
      <c r="D89">
        <f>SUBTOTAL(9,D88:D88)</f>
        <v>8</v>
      </c>
      <c r="E89">
        <f>SUBTOTAL(9,E88:E88)</f>
        <v>6</v>
      </c>
      <c r="F89" s="20">
        <f t="shared" si="1"/>
        <v>0.75</v>
      </c>
      <c r="G89" s="20"/>
    </row>
    <row r="90" spans="1:7" hidden="1" outlineLevel="2" x14ac:dyDescent="0.3">
      <c r="A90" s="5">
        <v>43101</v>
      </c>
      <c r="B90" s="22" t="s">
        <v>41</v>
      </c>
      <c r="C90" s="22" t="s">
        <v>42</v>
      </c>
      <c r="D90">
        <v>99</v>
      </c>
      <c r="E90">
        <v>14</v>
      </c>
      <c r="F90" s="20">
        <f t="shared" si="1"/>
        <v>0.14141414141414141</v>
      </c>
      <c r="G90" s="20"/>
    </row>
    <row r="91" spans="1:7" outlineLevel="1" collapsed="1" x14ac:dyDescent="0.3">
      <c r="A91" s="5"/>
      <c r="B91" s="23" t="s">
        <v>150</v>
      </c>
      <c r="C91" s="22"/>
      <c r="D91">
        <f>SUBTOTAL(9,D90:D90)</f>
        <v>99</v>
      </c>
      <c r="E91">
        <f>SUBTOTAL(9,E90:E90)</f>
        <v>14</v>
      </c>
      <c r="F91" s="20">
        <f t="shared" si="1"/>
        <v>0.14141414141414141</v>
      </c>
      <c r="G91" s="20"/>
    </row>
    <row r="92" spans="1:7" hidden="1" outlineLevel="2" x14ac:dyDescent="0.3">
      <c r="A92" s="5">
        <v>43101</v>
      </c>
      <c r="B92" s="22" t="s">
        <v>67</v>
      </c>
      <c r="C92" s="22" t="s">
        <v>42</v>
      </c>
      <c r="D92">
        <v>99</v>
      </c>
      <c r="E92">
        <v>91</v>
      </c>
      <c r="F92" s="20">
        <f t="shared" si="1"/>
        <v>0.91919191919191923</v>
      </c>
      <c r="G92" s="20"/>
    </row>
    <row r="93" spans="1:7" outlineLevel="1" collapsed="1" x14ac:dyDescent="0.3">
      <c r="A93" s="5"/>
      <c r="B93" s="23" t="s">
        <v>151</v>
      </c>
      <c r="C93" s="22"/>
      <c r="D93">
        <f>SUBTOTAL(9,D92:D92)</f>
        <v>99</v>
      </c>
      <c r="E93">
        <f>SUBTOTAL(9,E92:E92)</f>
        <v>91</v>
      </c>
      <c r="F93" s="20">
        <f t="shared" si="1"/>
        <v>0.91919191919191923</v>
      </c>
      <c r="G93" s="20"/>
    </row>
    <row r="94" spans="1:7" x14ac:dyDescent="0.3">
      <c r="A94" s="5"/>
      <c r="B94" s="23" t="s">
        <v>35</v>
      </c>
      <c r="C94" s="22"/>
      <c r="D94">
        <f>SUBTOTAL(9,D2:D92)</f>
        <v>2981</v>
      </c>
      <c r="E94">
        <f>SUBTOTAL(9,E2:E92)</f>
        <v>1660</v>
      </c>
      <c r="F94" s="20">
        <f t="shared" si="1"/>
        <v>0.55686011405568603</v>
      </c>
      <c r="G94" s="20"/>
    </row>
    <row r="95" spans="1:7" x14ac:dyDescent="0.3">
      <c r="G95" s="20"/>
    </row>
    <row r="96" spans="1:7" x14ac:dyDescent="0.3">
      <c r="G96" s="20"/>
    </row>
    <row r="97" spans="2:7" x14ac:dyDescent="0.3">
      <c r="G97" s="20"/>
    </row>
    <row r="98" spans="2:7" x14ac:dyDescent="0.3">
      <c r="G98" s="20"/>
    </row>
    <row r="99" spans="2:7" x14ac:dyDescent="0.3">
      <c r="G99" s="20"/>
    </row>
    <row r="100" spans="2:7" x14ac:dyDescent="0.3">
      <c r="B100" s="5"/>
      <c r="C100" s="21"/>
      <c r="D100" s="6"/>
      <c r="G100" s="20"/>
    </row>
    <row r="101" spans="2:7" x14ac:dyDescent="0.3">
      <c r="B101" s="5"/>
      <c r="C101" s="6"/>
      <c r="D101" s="6"/>
      <c r="G101" s="20"/>
    </row>
    <row r="102" spans="2:7" x14ac:dyDescent="0.3">
      <c r="B102" s="5"/>
      <c r="C102" s="21"/>
      <c r="D102" s="6"/>
      <c r="G102" s="20"/>
    </row>
    <row r="103" spans="2:7" x14ac:dyDescent="0.3">
      <c r="B103" s="5"/>
      <c r="C103" s="6"/>
      <c r="D103" s="6"/>
      <c r="G103" s="20"/>
    </row>
    <row r="104" spans="2:7" x14ac:dyDescent="0.3">
      <c r="B104" s="5"/>
      <c r="C104" s="21"/>
      <c r="D104" s="6"/>
      <c r="G104" s="20"/>
    </row>
    <row r="105" spans="2:7" x14ac:dyDescent="0.3">
      <c r="B105" s="5"/>
      <c r="C105" s="6"/>
      <c r="D105" s="6"/>
      <c r="G105" s="20"/>
    </row>
    <row r="106" spans="2:7" x14ac:dyDescent="0.3">
      <c r="B106" s="5"/>
      <c r="C106" s="21"/>
      <c r="D106" s="6"/>
      <c r="G106" s="20"/>
    </row>
    <row r="107" spans="2:7" x14ac:dyDescent="0.3">
      <c r="B107" s="5"/>
      <c r="C107" s="6"/>
      <c r="D107" s="6"/>
      <c r="G107" s="20"/>
    </row>
    <row r="108" spans="2:7" x14ac:dyDescent="0.3">
      <c r="B108" s="5"/>
      <c r="C108" s="21"/>
      <c r="D108" s="6"/>
      <c r="G108" s="20"/>
    </row>
    <row r="109" spans="2:7" x14ac:dyDescent="0.3">
      <c r="B109" s="5"/>
      <c r="C109" s="6"/>
      <c r="D109" s="6"/>
      <c r="G109" s="20"/>
    </row>
    <row r="110" spans="2:7" x14ac:dyDescent="0.3">
      <c r="B110" s="5"/>
      <c r="C110" s="21"/>
      <c r="D110" s="6"/>
      <c r="G110" s="20"/>
    </row>
    <row r="111" spans="2:7" x14ac:dyDescent="0.3">
      <c r="B111" s="5"/>
      <c r="C111" s="6"/>
      <c r="D111" s="6"/>
      <c r="G111" s="20"/>
    </row>
    <row r="112" spans="2:7" x14ac:dyDescent="0.3">
      <c r="B112" s="5"/>
      <c r="C112" s="21"/>
      <c r="D112" s="6"/>
      <c r="G112" s="20"/>
    </row>
    <row r="113" spans="2:7" x14ac:dyDescent="0.3">
      <c r="B113" s="5"/>
      <c r="C113" s="6"/>
      <c r="D113" s="6"/>
      <c r="G113" s="20"/>
    </row>
    <row r="114" spans="2:7" x14ac:dyDescent="0.3">
      <c r="B114" s="5"/>
      <c r="C114" s="21"/>
      <c r="D114" s="6"/>
      <c r="G114" s="20"/>
    </row>
    <row r="115" spans="2:7" x14ac:dyDescent="0.3">
      <c r="B115" s="5"/>
      <c r="C115" s="6"/>
      <c r="D115" s="6"/>
      <c r="G115" s="20"/>
    </row>
    <row r="116" spans="2:7" x14ac:dyDescent="0.3">
      <c r="B116" s="5"/>
      <c r="C116" s="21"/>
      <c r="D116" s="6"/>
      <c r="G116" s="20"/>
    </row>
    <row r="117" spans="2:7" x14ac:dyDescent="0.3">
      <c r="B117" s="5"/>
      <c r="C117" s="6"/>
      <c r="D117" s="6"/>
      <c r="G117" s="20"/>
    </row>
    <row r="118" spans="2:7" x14ac:dyDescent="0.3">
      <c r="B118" s="5"/>
      <c r="C118" s="21"/>
      <c r="D118" s="6"/>
      <c r="G118" s="20"/>
    </row>
    <row r="119" spans="2:7" x14ac:dyDescent="0.3">
      <c r="B119" s="5"/>
      <c r="C119" s="6"/>
      <c r="D119" s="6"/>
      <c r="G119" s="20"/>
    </row>
    <row r="120" spans="2:7" x14ac:dyDescent="0.3">
      <c r="B120" s="5"/>
      <c r="C120" s="21"/>
      <c r="D120" s="6"/>
      <c r="G120" s="20"/>
    </row>
    <row r="121" spans="2:7" x14ac:dyDescent="0.3">
      <c r="B121" s="5"/>
      <c r="C121" s="6"/>
      <c r="D121" s="6"/>
      <c r="G121" s="20"/>
    </row>
    <row r="122" spans="2:7" x14ac:dyDescent="0.3">
      <c r="B122" s="5"/>
      <c r="C122" s="21"/>
      <c r="D122" s="6"/>
      <c r="G122" s="20"/>
    </row>
    <row r="123" spans="2:7" x14ac:dyDescent="0.3">
      <c r="B123" s="5"/>
      <c r="C123" s="6"/>
      <c r="D123" s="6"/>
      <c r="G123" s="20"/>
    </row>
    <row r="124" spans="2:7" x14ac:dyDescent="0.3">
      <c r="B124" s="5"/>
      <c r="C124" s="21"/>
      <c r="D124" s="6"/>
      <c r="G124" s="20"/>
    </row>
    <row r="125" spans="2:7" x14ac:dyDescent="0.3">
      <c r="B125" s="5"/>
      <c r="C125" s="6"/>
      <c r="D125" s="6"/>
      <c r="G125" s="20"/>
    </row>
    <row r="126" spans="2:7" x14ac:dyDescent="0.3">
      <c r="B126" s="5"/>
      <c r="C126" s="21"/>
      <c r="D126" s="6"/>
      <c r="G126" s="20"/>
    </row>
    <row r="127" spans="2:7" x14ac:dyDescent="0.3">
      <c r="B127" s="5"/>
      <c r="C127" s="6"/>
      <c r="D127" s="6"/>
      <c r="G127" s="20"/>
    </row>
    <row r="128" spans="2:7" x14ac:dyDescent="0.3">
      <c r="B128" s="5"/>
      <c r="C128" s="21"/>
      <c r="D128" s="6"/>
      <c r="G128" s="20"/>
    </row>
    <row r="129" spans="2:7" x14ac:dyDescent="0.3">
      <c r="B129" s="5"/>
      <c r="C129" s="6"/>
      <c r="D129" s="6"/>
      <c r="G129" s="20"/>
    </row>
    <row r="130" spans="2:7" x14ac:dyDescent="0.3">
      <c r="B130" s="5"/>
      <c r="C130" s="21"/>
      <c r="D130" s="6"/>
      <c r="G130" s="20"/>
    </row>
    <row r="131" spans="2:7" x14ac:dyDescent="0.3">
      <c r="B131" s="5"/>
      <c r="C131" s="6"/>
      <c r="D131" s="6"/>
      <c r="G131" s="20"/>
    </row>
    <row r="132" spans="2:7" x14ac:dyDescent="0.3">
      <c r="B132" s="5"/>
      <c r="C132" s="21"/>
      <c r="D132" s="6"/>
      <c r="G132" s="20"/>
    </row>
    <row r="133" spans="2:7" x14ac:dyDescent="0.3">
      <c r="B133" s="5"/>
      <c r="C133" s="6"/>
      <c r="D133" s="6"/>
      <c r="G133" s="20"/>
    </row>
    <row r="134" spans="2:7" x14ac:dyDescent="0.3">
      <c r="B134" s="5"/>
      <c r="C134" s="21"/>
      <c r="D134" s="6"/>
      <c r="G134" s="20"/>
    </row>
    <row r="135" spans="2:7" x14ac:dyDescent="0.3">
      <c r="B135" s="5"/>
      <c r="C135" s="6"/>
      <c r="D135" s="6"/>
      <c r="G135" s="20"/>
    </row>
    <row r="136" spans="2:7" x14ac:dyDescent="0.3">
      <c r="B136" s="5"/>
      <c r="C136" s="21"/>
      <c r="D136" s="6"/>
      <c r="G136" s="20"/>
    </row>
    <row r="137" spans="2:7" x14ac:dyDescent="0.3">
      <c r="B137" s="5"/>
      <c r="C137" s="6"/>
      <c r="D137" s="6"/>
      <c r="G137" s="20"/>
    </row>
    <row r="138" spans="2:7" x14ac:dyDescent="0.3">
      <c r="B138" s="5"/>
      <c r="C138" s="21"/>
      <c r="D138" s="6"/>
      <c r="G138" s="20"/>
    </row>
    <row r="139" spans="2:7" x14ac:dyDescent="0.3">
      <c r="B139" s="5"/>
      <c r="C139" s="6"/>
      <c r="D139" s="6"/>
      <c r="G139" s="20"/>
    </row>
    <row r="140" spans="2:7" x14ac:dyDescent="0.3">
      <c r="B140" s="5"/>
      <c r="C140" s="21"/>
      <c r="D140" s="6"/>
      <c r="G140" s="20"/>
    </row>
    <row r="141" spans="2:7" x14ac:dyDescent="0.3">
      <c r="B141" s="5"/>
      <c r="C141" s="6"/>
      <c r="D141" s="6"/>
      <c r="G141" s="20"/>
    </row>
    <row r="142" spans="2:7" x14ac:dyDescent="0.3">
      <c r="B142" s="5"/>
      <c r="C142" s="21"/>
      <c r="D142" s="6"/>
      <c r="G142" s="20"/>
    </row>
    <row r="143" spans="2:7" x14ac:dyDescent="0.3">
      <c r="B143" s="5"/>
      <c r="C143" s="6"/>
      <c r="D143" s="6"/>
      <c r="G143" s="20"/>
    </row>
    <row r="144" spans="2:7" x14ac:dyDescent="0.3">
      <c r="B144" s="5"/>
      <c r="C144" s="21"/>
      <c r="D144" s="6"/>
      <c r="G144" s="20"/>
    </row>
    <row r="145" spans="2:22" x14ac:dyDescent="0.3">
      <c r="B145" s="5"/>
      <c r="C145" s="21"/>
      <c r="D145" s="6"/>
      <c r="G145" s="20"/>
    </row>
    <row r="148" spans="2:22" x14ac:dyDescent="0.3">
      <c r="T148" s="5"/>
      <c r="U148" s="6"/>
      <c r="V148" s="6"/>
    </row>
    <row r="149" spans="2:22" x14ac:dyDescent="0.3">
      <c r="T149" s="5"/>
      <c r="U149" s="6"/>
      <c r="V149" s="6"/>
    </row>
    <row r="150" spans="2:22" x14ac:dyDescent="0.3">
      <c r="T150" s="5"/>
      <c r="U150" s="6"/>
      <c r="V150" s="6"/>
    </row>
    <row r="151" spans="2:22" x14ac:dyDescent="0.3">
      <c r="T151" s="5"/>
      <c r="U151" s="6"/>
      <c r="V151" s="6"/>
    </row>
    <row r="152" spans="2:22" x14ac:dyDescent="0.3">
      <c r="T152" s="5"/>
      <c r="U152" s="6"/>
      <c r="V152" s="6"/>
    </row>
    <row r="153" spans="2:22" x14ac:dyDescent="0.3">
      <c r="T153" s="5"/>
      <c r="U153" s="6"/>
      <c r="V153" s="6"/>
    </row>
    <row r="154" spans="2:22" x14ac:dyDescent="0.3">
      <c r="T154" s="5"/>
      <c r="U154" s="6"/>
      <c r="V154" s="6"/>
    </row>
    <row r="155" spans="2:22" x14ac:dyDescent="0.3">
      <c r="T155" s="5"/>
      <c r="U155" s="6"/>
      <c r="V155" s="6"/>
    </row>
    <row r="156" spans="2:22" x14ac:dyDescent="0.3">
      <c r="T156" s="5"/>
      <c r="U156" s="6"/>
      <c r="V156" s="6"/>
    </row>
    <row r="157" spans="2:22" x14ac:dyDescent="0.3">
      <c r="T157" s="5"/>
      <c r="U157" s="6"/>
      <c r="V157" s="6"/>
    </row>
    <row r="158" spans="2:22" x14ac:dyDescent="0.3">
      <c r="T158" s="5"/>
      <c r="U158" s="6"/>
      <c r="V158" s="6"/>
    </row>
    <row r="159" spans="2:22" x14ac:dyDescent="0.3">
      <c r="T159" s="5"/>
      <c r="U159" s="6"/>
      <c r="V159" s="6"/>
    </row>
    <row r="160" spans="2:22" x14ac:dyDescent="0.3">
      <c r="T160" s="5"/>
      <c r="U160" s="6"/>
      <c r="V160" s="6"/>
    </row>
    <row r="161" spans="20:22" x14ac:dyDescent="0.3">
      <c r="T161" s="5"/>
      <c r="U161" s="6"/>
      <c r="V161" s="6"/>
    </row>
    <row r="162" spans="20:22" x14ac:dyDescent="0.3">
      <c r="T162" s="5"/>
      <c r="U162" s="6"/>
      <c r="V162" s="6"/>
    </row>
    <row r="163" spans="20:22" x14ac:dyDescent="0.3">
      <c r="T163" s="5"/>
      <c r="U163" s="6"/>
      <c r="V163" s="6"/>
    </row>
    <row r="164" spans="20:22" x14ac:dyDescent="0.3">
      <c r="T164" s="5"/>
      <c r="U164" s="6"/>
      <c r="V164" s="6"/>
    </row>
    <row r="165" spans="20:22" x14ac:dyDescent="0.3">
      <c r="T165" s="5"/>
      <c r="U165" s="6"/>
      <c r="V165" s="6"/>
    </row>
    <row r="166" spans="20:22" x14ac:dyDescent="0.3">
      <c r="T166" s="5"/>
      <c r="U166" s="6"/>
      <c r="V166" s="6"/>
    </row>
    <row r="167" spans="20:22" x14ac:dyDescent="0.3">
      <c r="T167" s="5"/>
      <c r="U167" s="6"/>
      <c r="V167" s="6"/>
    </row>
    <row r="168" spans="20:22" x14ac:dyDescent="0.3">
      <c r="T168" s="5"/>
      <c r="U168" s="6"/>
      <c r="V168" s="6"/>
    </row>
    <row r="169" spans="20:22" x14ac:dyDescent="0.3">
      <c r="T169" s="5"/>
      <c r="U169" s="6"/>
      <c r="V169" s="6"/>
    </row>
    <row r="170" spans="20:22" x14ac:dyDescent="0.3">
      <c r="T170" s="5"/>
      <c r="U170" s="6"/>
      <c r="V170" s="6"/>
    </row>
    <row r="171" spans="20:22" x14ac:dyDescent="0.3">
      <c r="T171" s="5"/>
      <c r="U171" s="6"/>
      <c r="V171" s="6"/>
    </row>
    <row r="172" spans="20:22" x14ac:dyDescent="0.3">
      <c r="T172" s="5"/>
      <c r="U172" s="6"/>
      <c r="V172" s="6"/>
    </row>
    <row r="173" spans="20:22" x14ac:dyDescent="0.3">
      <c r="T173" s="5"/>
      <c r="U173" s="6"/>
      <c r="V173" s="6"/>
    </row>
    <row r="174" spans="20:22" x14ac:dyDescent="0.3">
      <c r="T174" s="5"/>
      <c r="U174" s="6"/>
      <c r="V174" s="6"/>
    </row>
    <row r="175" spans="20:22" x14ac:dyDescent="0.3">
      <c r="T175" s="5"/>
      <c r="U175" s="6"/>
      <c r="V175" s="6"/>
    </row>
    <row r="176" spans="20:22" x14ac:dyDescent="0.3">
      <c r="T176" s="5"/>
      <c r="U176" s="6"/>
      <c r="V176" s="6"/>
    </row>
    <row r="177" spans="20:22" x14ac:dyDescent="0.3">
      <c r="T177" s="5"/>
      <c r="U177" s="6"/>
      <c r="V177" s="6"/>
    </row>
    <row r="178" spans="20:22" x14ac:dyDescent="0.3">
      <c r="T178" s="5"/>
      <c r="U178" s="6"/>
      <c r="V178" s="6"/>
    </row>
    <row r="179" spans="20:22" x14ac:dyDescent="0.3">
      <c r="T179" s="5"/>
      <c r="U179" s="6"/>
      <c r="V179" s="6"/>
    </row>
    <row r="180" spans="20:22" x14ac:dyDescent="0.3">
      <c r="T180" s="5"/>
      <c r="U180" s="6"/>
      <c r="V180" s="6"/>
    </row>
    <row r="181" spans="20:22" x14ac:dyDescent="0.3">
      <c r="T181" s="5"/>
      <c r="U181" s="6"/>
      <c r="V181" s="6"/>
    </row>
    <row r="182" spans="20:22" x14ac:dyDescent="0.3">
      <c r="T182" s="5"/>
      <c r="U182" s="6"/>
      <c r="V182" s="6"/>
    </row>
    <row r="183" spans="20:22" x14ac:dyDescent="0.3">
      <c r="T183" s="5"/>
      <c r="U183" s="6"/>
      <c r="V183" s="6"/>
    </row>
    <row r="184" spans="20:22" x14ac:dyDescent="0.3">
      <c r="T184" s="5"/>
      <c r="U184" s="6"/>
      <c r="V184" s="6"/>
    </row>
    <row r="185" spans="20:22" x14ac:dyDescent="0.3">
      <c r="T185" s="5"/>
      <c r="U185" s="6"/>
      <c r="V185" s="6"/>
    </row>
    <row r="186" spans="20:22" x14ac:dyDescent="0.3">
      <c r="T186" s="5"/>
      <c r="U186" s="6"/>
      <c r="V186" s="6"/>
    </row>
    <row r="187" spans="20:22" x14ac:dyDescent="0.3">
      <c r="T187" s="5"/>
      <c r="U187" s="6"/>
      <c r="V187" s="6"/>
    </row>
    <row r="188" spans="20:22" x14ac:dyDescent="0.3">
      <c r="T188" s="5"/>
      <c r="U188" s="6"/>
      <c r="V188" s="6"/>
    </row>
    <row r="189" spans="20:22" x14ac:dyDescent="0.3">
      <c r="T189" s="5"/>
      <c r="U189" s="6"/>
      <c r="V189" s="6"/>
    </row>
    <row r="190" spans="20:22" x14ac:dyDescent="0.3">
      <c r="T190" s="5"/>
      <c r="U190" s="6"/>
      <c r="V190" s="6"/>
    </row>
    <row r="191" spans="20:22" x14ac:dyDescent="0.3">
      <c r="T191" s="5"/>
      <c r="U191" s="6"/>
      <c r="V191" s="6"/>
    </row>
    <row r="192" spans="20:22" x14ac:dyDescent="0.3">
      <c r="T192" s="5"/>
      <c r="U192" s="6"/>
      <c r="V192" s="6"/>
    </row>
    <row r="193" spans="20:22" x14ac:dyDescent="0.3">
      <c r="T193" s="5"/>
      <c r="U193" s="6"/>
      <c r="V193" s="6"/>
    </row>
    <row r="194" spans="20:22" x14ac:dyDescent="0.3">
      <c r="T194" s="5"/>
      <c r="U194" s="6"/>
      <c r="V194" s="6"/>
    </row>
    <row r="195" spans="20:22" x14ac:dyDescent="0.3">
      <c r="T195" s="5"/>
      <c r="U195" s="6"/>
      <c r="V195" s="6"/>
    </row>
    <row r="196" spans="20:22" x14ac:dyDescent="0.3">
      <c r="T196" s="5"/>
      <c r="U196" s="6"/>
      <c r="V196" s="6"/>
    </row>
    <row r="197" spans="20:22" x14ac:dyDescent="0.3">
      <c r="T197" s="5"/>
      <c r="U197" s="6"/>
      <c r="V197" s="6"/>
    </row>
  </sheetData>
  <autoFilter ref="A1:F92" xr:uid="{673B3BAD-1DCA-411F-8836-C7D39971D5F8}">
    <sortState ref="A2:F92">
      <sortCondition ref="B1:B92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139E-1518-4960-B244-D50508908A53}">
  <dimension ref="B2:D51"/>
  <sheetViews>
    <sheetView workbookViewId="0"/>
  </sheetViews>
  <sheetFormatPr defaultRowHeight="14.4" x14ac:dyDescent="0.3"/>
  <cols>
    <col min="1" max="1" width="5" bestFit="1" customWidth="1"/>
    <col min="2" max="2" width="10.109375" bestFit="1" customWidth="1"/>
    <col min="3" max="3" width="22" bestFit="1" customWidth="1"/>
    <col min="4" max="4" width="30.33203125" bestFit="1" customWidth="1"/>
    <col min="5" max="5" width="18.6640625" bestFit="1" customWidth="1"/>
    <col min="6" max="6" width="15" bestFit="1" customWidth="1"/>
  </cols>
  <sheetData>
    <row r="2" spans="2:4" x14ac:dyDescent="0.3">
      <c r="B2" s="5"/>
      <c r="C2" s="6"/>
      <c r="D2" s="6"/>
    </row>
    <row r="3" spans="2:4" x14ac:dyDescent="0.3">
      <c r="B3" s="5"/>
      <c r="C3" s="6"/>
      <c r="D3" s="6"/>
    </row>
    <row r="4" spans="2:4" x14ac:dyDescent="0.3">
      <c r="B4" s="5"/>
      <c r="C4" s="6"/>
      <c r="D4" s="6"/>
    </row>
    <row r="5" spans="2:4" x14ac:dyDescent="0.3">
      <c r="B5" s="5"/>
      <c r="C5" s="6"/>
      <c r="D5" s="6"/>
    </row>
    <row r="6" spans="2:4" x14ac:dyDescent="0.3">
      <c r="B6" s="5"/>
      <c r="C6" s="6"/>
      <c r="D6" s="6"/>
    </row>
    <row r="7" spans="2:4" x14ac:dyDescent="0.3">
      <c r="B7" s="5"/>
      <c r="C7" s="6"/>
      <c r="D7" s="6"/>
    </row>
    <row r="8" spans="2:4" x14ac:dyDescent="0.3">
      <c r="B8" s="5"/>
      <c r="C8" s="6"/>
      <c r="D8" s="6"/>
    </row>
    <row r="9" spans="2:4" x14ac:dyDescent="0.3">
      <c r="B9" s="5"/>
      <c r="C9" s="6"/>
      <c r="D9" s="6"/>
    </row>
    <row r="10" spans="2:4" x14ac:dyDescent="0.3">
      <c r="B10" s="5"/>
      <c r="C10" s="6"/>
      <c r="D10" s="6"/>
    </row>
    <row r="11" spans="2:4" x14ac:dyDescent="0.3">
      <c r="B11" s="5"/>
      <c r="C11" s="6"/>
      <c r="D11" s="6"/>
    </row>
    <row r="12" spans="2:4" x14ac:dyDescent="0.3">
      <c r="B12" s="5"/>
      <c r="C12" s="6"/>
      <c r="D12" s="6"/>
    </row>
    <row r="13" spans="2:4" x14ac:dyDescent="0.3">
      <c r="B13" s="5"/>
      <c r="C13" s="6"/>
      <c r="D13" s="6"/>
    </row>
    <row r="14" spans="2:4" x14ac:dyDescent="0.3">
      <c r="B14" s="5"/>
      <c r="C14" s="6"/>
      <c r="D14" s="6"/>
    </row>
    <row r="15" spans="2:4" x14ac:dyDescent="0.3">
      <c r="B15" s="5"/>
      <c r="C15" s="6"/>
      <c r="D15" s="6"/>
    </row>
    <row r="16" spans="2:4" x14ac:dyDescent="0.3">
      <c r="B16" s="5"/>
      <c r="C16" s="6"/>
      <c r="D16" s="6"/>
    </row>
    <row r="17" spans="2:4" x14ac:dyDescent="0.3">
      <c r="B17" s="5"/>
      <c r="C17" s="6"/>
      <c r="D17" s="6"/>
    </row>
    <row r="18" spans="2:4" x14ac:dyDescent="0.3">
      <c r="B18" s="5"/>
      <c r="C18" s="6"/>
      <c r="D18" s="6"/>
    </row>
    <row r="19" spans="2:4" x14ac:dyDescent="0.3">
      <c r="B19" s="5"/>
      <c r="C19" s="6"/>
      <c r="D19" s="6"/>
    </row>
    <row r="20" spans="2:4" x14ac:dyDescent="0.3">
      <c r="B20" s="5"/>
      <c r="C20" s="6"/>
      <c r="D20" s="6"/>
    </row>
    <row r="21" spans="2:4" x14ac:dyDescent="0.3">
      <c r="B21" s="5"/>
      <c r="C21" s="6"/>
      <c r="D21" s="6"/>
    </row>
    <row r="22" spans="2:4" x14ac:dyDescent="0.3">
      <c r="B22" s="5"/>
      <c r="C22" s="6"/>
      <c r="D22" s="6"/>
    </row>
    <row r="23" spans="2:4" x14ac:dyDescent="0.3">
      <c r="B23" s="5"/>
      <c r="C23" s="6"/>
      <c r="D23" s="6"/>
    </row>
    <row r="24" spans="2:4" x14ac:dyDescent="0.3">
      <c r="B24" s="5"/>
      <c r="C24" s="6"/>
      <c r="D24" s="6"/>
    </row>
    <row r="25" spans="2:4" x14ac:dyDescent="0.3">
      <c r="B25" s="5"/>
      <c r="C25" s="6"/>
      <c r="D25" s="6"/>
    </row>
    <row r="26" spans="2:4" x14ac:dyDescent="0.3">
      <c r="B26" s="5"/>
      <c r="C26" s="6"/>
      <c r="D26" s="6"/>
    </row>
    <row r="27" spans="2:4" x14ac:dyDescent="0.3">
      <c r="B27" s="5"/>
      <c r="C27" s="6"/>
      <c r="D27" s="6"/>
    </row>
    <row r="28" spans="2:4" x14ac:dyDescent="0.3">
      <c r="B28" s="5"/>
      <c r="C28" s="6"/>
      <c r="D28" s="6"/>
    </row>
    <row r="29" spans="2:4" x14ac:dyDescent="0.3">
      <c r="B29" s="5"/>
      <c r="C29" s="6"/>
      <c r="D29" s="6"/>
    </row>
    <row r="30" spans="2:4" x14ac:dyDescent="0.3">
      <c r="B30" s="5"/>
      <c r="C30" s="6"/>
      <c r="D30" s="6"/>
    </row>
    <row r="31" spans="2:4" x14ac:dyDescent="0.3">
      <c r="B31" s="5"/>
      <c r="C31" s="6"/>
      <c r="D31" s="6"/>
    </row>
    <row r="32" spans="2:4" x14ac:dyDescent="0.3">
      <c r="B32" s="5"/>
      <c r="C32" s="6"/>
      <c r="D32" s="6"/>
    </row>
    <row r="33" spans="2:4" x14ac:dyDescent="0.3">
      <c r="B33" s="5"/>
      <c r="C33" s="6"/>
      <c r="D33" s="6"/>
    </row>
    <row r="34" spans="2:4" x14ac:dyDescent="0.3">
      <c r="B34" s="5"/>
      <c r="C34" s="6"/>
      <c r="D34" s="6"/>
    </row>
    <row r="35" spans="2:4" x14ac:dyDescent="0.3">
      <c r="B35" s="5"/>
      <c r="C35" s="6"/>
      <c r="D35" s="6"/>
    </row>
    <row r="36" spans="2:4" x14ac:dyDescent="0.3">
      <c r="B36" s="5"/>
      <c r="C36" s="6"/>
      <c r="D36" s="6"/>
    </row>
    <row r="37" spans="2:4" x14ac:dyDescent="0.3">
      <c r="B37" s="5"/>
      <c r="C37" s="6"/>
      <c r="D37" s="6"/>
    </row>
    <row r="38" spans="2:4" x14ac:dyDescent="0.3">
      <c r="B38" s="5"/>
      <c r="C38" s="6"/>
      <c r="D38" s="6"/>
    </row>
    <row r="39" spans="2:4" x14ac:dyDescent="0.3">
      <c r="B39" s="5"/>
      <c r="C39" s="6"/>
      <c r="D39" s="6"/>
    </row>
    <row r="40" spans="2:4" x14ac:dyDescent="0.3">
      <c r="B40" s="5"/>
      <c r="C40" s="6"/>
      <c r="D40" s="6"/>
    </row>
    <row r="41" spans="2:4" x14ac:dyDescent="0.3">
      <c r="B41" s="5"/>
      <c r="C41" s="6"/>
      <c r="D41" s="6"/>
    </row>
    <row r="42" spans="2:4" x14ac:dyDescent="0.3">
      <c r="B42" s="5"/>
      <c r="C42" s="6"/>
      <c r="D42" s="6"/>
    </row>
    <row r="43" spans="2:4" x14ac:dyDescent="0.3">
      <c r="B43" s="5"/>
      <c r="C43" s="6"/>
      <c r="D43" s="6"/>
    </row>
    <row r="44" spans="2:4" x14ac:dyDescent="0.3">
      <c r="B44" s="5"/>
      <c r="C44" s="6"/>
      <c r="D44" s="6"/>
    </row>
    <row r="45" spans="2:4" x14ac:dyDescent="0.3">
      <c r="B45" s="5"/>
      <c r="C45" s="6"/>
      <c r="D45" s="6"/>
    </row>
    <row r="46" spans="2:4" x14ac:dyDescent="0.3">
      <c r="B46" s="5"/>
      <c r="C46" s="6"/>
      <c r="D46" s="6"/>
    </row>
    <row r="47" spans="2:4" x14ac:dyDescent="0.3">
      <c r="B47" s="5"/>
      <c r="C47" s="6"/>
      <c r="D47" s="6"/>
    </row>
    <row r="48" spans="2:4" x14ac:dyDescent="0.3">
      <c r="B48" s="5"/>
      <c r="C48" s="6"/>
      <c r="D48" s="6"/>
    </row>
    <row r="49" spans="2:4" x14ac:dyDescent="0.3">
      <c r="B49" s="5"/>
      <c r="C49" s="6"/>
      <c r="D49" s="6"/>
    </row>
    <row r="50" spans="2:4" x14ac:dyDescent="0.3">
      <c r="B50" s="5"/>
      <c r="C50" s="6"/>
      <c r="D50" s="6"/>
    </row>
    <row r="51" spans="2:4" x14ac:dyDescent="0.3">
      <c r="B51" s="5"/>
      <c r="C51" s="6"/>
      <c r="D5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1CDF-10A3-4C70-BB88-1A3B8106EAF6}">
  <dimension ref="B2:D51"/>
  <sheetViews>
    <sheetView workbookViewId="0"/>
  </sheetViews>
  <sheetFormatPr defaultRowHeight="14.4" x14ac:dyDescent="0.3"/>
  <cols>
    <col min="1" max="1" width="5" bestFit="1" customWidth="1"/>
    <col min="2" max="2" width="10.44140625" bestFit="1" customWidth="1"/>
    <col min="3" max="3" width="46.6640625" bestFit="1" customWidth="1"/>
    <col min="4" max="4" width="62.44140625" bestFit="1" customWidth="1"/>
    <col min="5" max="5" width="36.44140625" bestFit="1" customWidth="1"/>
    <col min="6" max="6" width="27.109375" bestFit="1" customWidth="1"/>
  </cols>
  <sheetData>
    <row r="2" spans="2:4" x14ac:dyDescent="0.3">
      <c r="B2" s="5"/>
      <c r="C2" s="6"/>
      <c r="D2" s="6"/>
    </row>
    <row r="3" spans="2:4" x14ac:dyDescent="0.3">
      <c r="B3" s="5"/>
      <c r="C3" s="6"/>
      <c r="D3" s="6"/>
    </row>
    <row r="4" spans="2:4" x14ac:dyDescent="0.3">
      <c r="B4" s="5"/>
      <c r="C4" s="6"/>
      <c r="D4" s="6"/>
    </row>
    <row r="5" spans="2:4" x14ac:dyDescent="0.3">
      <c r="B5" s="5"/>
      <c r="C5" s="6"/>
      <c r="D5" s="6"/>
    </row>
    <row r="6" spans="2:4" x14ac:dyDescent="0.3">
      <c r="B6" s="5"/>
      <c r="C6" s="6"/>
      <c r="D6" s="6"/>
    </row>
    <row r="7" spans="2:4" x14ac:dyDescent="0.3">
      <c r="B7" s="5"/>
      <c r="C7" s="6"/>
      <c r="D7" s="6"/>
    </row>
    <row r="8" spans="2:4" x14ac:dyDescent="0.3">
      <c r="B8" s="5"/>
      <c r="C8" s="6"/>
      <c r="D8" s="6"/>
    </row>
    <row r="9" spans="2:4" x14ac:dyDescent="0.3">
      <c r="B9" s="5"/>
      <c r="C9" s="6"/>
      <c r="D9" s="6"/>
    </row>
    <row r="10" spans="2:4" x14ac:dyDescent="0.3">
      <c r="B10" s="5"/>
      <c r="C10" s="6"/>
      <c r="D10" s="6"/>
    </row>
    <row r="11" spans="2:4" x14ac:dyDescent="0.3">
      <c r="B11" s="5"/>
      <c r="C11" s="6"/>
      <c r="D11" s="6"/>
    </row>
    <row r="12" spans="2:4" x14ac:dyDescent="0.3">
      <c r="B12" s="5"/>
      <c r="C12" s="6"/>
      <c r="D12" s="6"/>
    </row>
    <row r="13" spans="2:4" x14ac:dyDescent="0.3">
      <c r="B13" s="5"/>
      <c r="C13" s="6"/>
      <c r="D13" s="6"/>
    </row>
    <row r="14" spans="2:4" x14ac:dyDescent="0.3">
      <c r="B14" s="5"/>
      <c r="C14" s="6"/>
      <c r="D14" s="6"/>
    </row>
    <row r="15" spans="2:4" x14ac:dyDescent="0.3">
      <c r="B15" s="5"/>
      <c r="C15" s="6"/>
      <c r="D15" s="6"/>
    </row>
    <row r="16" spans="2:4" x14ac:dyDescent="0.3">
      <c r="B16" s="5"/>
      <c r="C16" s="6"/>
      <c r="D16" s="6"/>
    </row>
    <row r="17" spans="2:4" x14ac:dyDescent="0.3">
      <c r="B17" s="5"/>
      <c r="C17" s="6"/>
      <c r="D17" s="6"/>
    </row>
    <row r="18" spans="2:4" x14ac:dyDescent="0.3">
      <c r="B18" s="5"/>
      <c r="C18" s="6"/>
      <c r="D18" s="6"/>
    </row>
    <row r="19" spans="2:4" x14ac:dyDescent="0.3">
      <c r="B19" s="5"/>
      <c r="C19" s="6"/>
      <c r="D19" s="6"/>
    </row>
    <row r="20" spans="2:4" x14ac:dyDescent="0.3">
      <c r="B20" s="5"/>
      <c r="C20" s="6"/>
      <c r="D20" s="6"/>
    </row>
    <row r="21" spans="2:4" x14ac:dyDescent="0.3">
      <c r="B21" s="5"/>
      <c r="C21" s="6"/>
      <c r="D21" s="6"/>
    </row>
    <row r="22" spans="2:4" x14ac:dyDescent="0.3">
      <c r="B22" s="5"/>
      <c r="C22" s="6"/>
      <c r="D22" s="6"/>
    </row>
    <row r="23" spans="2:4" x14ac:dyDescent="0.3">
      <c r="B23" s="5"/>
      <c r="C23" s="6"/>
      <c r="D23" s="6"/>
    </row>
    <row r="24" spans="2:4" x14ac:dyDescent="0.3">
      <c r="B24" s="5"/>
      <c r="C24" s="6"/>
      <c r="D24" s="6"/>
    </row>
    <row r="25" spans="2:4" x14ac:dyDescent="0.3">
      <c r="B25" s="5"/>
      <c r="C25" s="6"/>
      <c r="D25" s="6"/>
    </row>
    <row r="26" spans="2:4" x14ac:dyDescent="0.3">
      <c r="B26" s="5"/>
      <c r="C26" s="6"/>
      <c r="D26" s="6"/>
    </row>
    <row r="27" spans="2:4" x14ac:dyDescent="0.3">
      <c r="B27" s="5"/>
      <c r="C27" s="6"/>
      <c r="D27" s="6"/>
    </row>
    <row r="28" spans="2:4" x14ac:dyDescent="0.3">
      <c r="B28" s="5"/>
      <c r="C28" s="6"/>
      <c r="D28" s="6"/>
    </row>
    <row r="29" spans="2:4" x14ac:dyDescent="0.3">
      <c r="B29" s="5"/>
      <c r="C29" s="6"/>
      <c r="D29" s="6"/>
    </row>
    <row r="30" spans="2:4" x14ac:dyDescent="0.3">
      <c r="B30" s="5"/>
      <c r="C30" s="6"/>
      <c r="D30" s="6"/>
    </row>
    <row r="31" spans="2:4" x14ac:dyDescent="0.3">
      <c r="B31" s="5"/>
      <c r="C31" s="6"/>
      <c r="D31" s="6"/>
    </row>
    <row r="32" spans="2:4" x14ac:dyDescent="0.3">
      <c r="B32" s="5"/>
      <c r="C32" s="6"/>
      <c r="D32" s="6"/>
    </row>
    <row r="33" spans="2:4" x14ac:dyDescent="0.3">
      <c r="B33" s="5"/>
      <c r="C33" s="6"/>
      <c r="D33" s="6"/>
    </row>
    <row r="34" spans="2:4" x14ac:dyDescent="0.3">
      <c r="B34" s="5"/>
      <c r="C34" s="6"/>
      <c r="D34" s="6"/>
    </row>
    <row r="35" spans="2:4" x14ac:dyDescent="0.3">
      <c r="B35" s="5"/>
      <c r="C35" s="6"/>
      <c r="D35" s="6"/>
    </row>
    <row r="36" spans="2:4" x14ac:dyDescent="0.3">
      <c r="B36" s="5"/>
      <c r="C36" s="6"/>
      <c r="D36" s="6"/>
    </row>
    <row r="37" spans="2:4" x14ac:dyDescent="0.3">
      <c r="B37" s="5"/>
      <c r="C37" s="6"/>
      <c r="D37" s="6"/>
    </row>
    <row r="38" spans="2:4" x14ac:dyDescent="0.3">
      <c r="B38" s="5"/>
      <c r="C38" s="6"/>
      <c r="D38" s="6"/>
    </row>
    <row r="39" spans="2:4" x14ac:dyDescent="0.3">
      <c r="B39" s="5"/>
      <c r="C39" s="6"/>
      <c r="D39" s="6"/>
    </row>
    <row r="40" spans="2:4" x14ac:dyDescent="0.3">
      <c r="B40" s="5"/>
      <c r="C40" s="6"/>
      <c r="D40" s="6"/>
    </row>
    <row r="41" spans="2:4" x14ac:dyDescent="0.3">
      <c r="B41" s="5"/>
      <c r="C41" s="6"/>
      <c r="D41" s="6"/>
    </row>
    <row r="42" spans="2:4" x14ac:dyDescent="0.3">
      <c r="B42" s="5"/>
      <c r="C42" s="6"/>
      <c r="D42" s="6"/>
    </row>
    <row r="43" spans="2:4" x14ac:dyDescent="0.3">
      <c r="B43" s="5"/>
      <c r="C43" s="6"/>
      <c r="D43" s="6"/>
    </row>
    <row r="44" spans="2:4" x14ac:dyDescent="0.3">
      <c r="B44" s="5"/>
      <c r="C44" s="6"/>
      <c r="D44" s="6"/>
    </row>
    <row r="45" spans="2:4" x14ac:dyDescent="0.3">
      <c r="B45" s="5"/>
      <c r="C45" s="6"/>
      <c r="D45" s="6"/>
    </row>
    <row r="46" spans="2:4" x14ac:dyDescent="0.3">
      <c r="B46" s="5"/>
      <c r="C46" s="6"/>
      <c r="D46" s="6"/>
    </row>
    <row r="47" spans="2:4" x14ac:dyDescent="0.3">
      <c r="B47" s="5"/>
      <c r="C47" s="6"/>
      <c r="D47" s="6"/>
    </row>
    <row r="48" spans="2:4" x14ac:dyDescent="0.3">
      <c r="B48" s="5"/>
      <c r="C48" s="6"/>
      <c r="D48" s="6"/>
    </row>
    <row r="49" spans="2:4" x14ac:dyDescent="0.3">
      <c r="B49" s="5"/>
      <c r="C49" s="6"/>
      <c r="D49" s="6"/>
    </row>
    <row r="50" spans="2:4" x14ac:dyDescent="0.3">
      <c r="B50" s="5"/>
      <c r="C50" s="6"/>
      <c r="D50" s="6"/>
    </row>
    <row r="51" spans="2:4" x14ac:dyDescent="0.3">
      <c r="B51" s="5"/>
      <c r="C51" s="6"/>
      <c r="D5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1865-2486-483E-ABB4-CAEAFE7375F0}">
  <dimension ref="A1:G87"/>
  <sheetViews>
    <sheetView zoomScaleNormal="100" workbookViewId="0">
      <selection sqref="A1:G86"/>
    </sheetView>
  </sheetViews>
  <sheetFormatPr defaultRowHeight="14.4" outlineLevelRow="2" x14ac:dyDescent="0.3"/>
  <cols>
    <col min="1" max="1" width="5" bestFit="1" customWidth="1"/>
    <col min="2" max="2" width="10.109375" bestFit="1" customWidth="1"/>
    <col min="3" max="3" width="22.6640625" bestFit="1" customWidth="1"/>
    <col min="4" max="4" width="36.33203125" bestFit="1" customWidth="1"/>
    <col min="5" max="5" width="17.21875" bestFit="1" customWidth="1"/>
    <col min="6" max="6" width="22.88671875" bestFit="1" customWidth="1"/>
    <col min="7" max="7" width="24.5546875" bestFit="1" customWidth="1"/>
  </cols>
  <sheetData>
    <row r="1" spans="1:7" x14ac:dyDescent="0.3">
      <c r="A1" s="7"/>
      <c r="B1" s="8"/>
      <c r="C1" s="8"/>
      <c r="D1" s="8"/>
      <c r="E1" s="8"/>
      <c r="F1" s="8"/>
      <c r="G1" s="9"/>
    </row>
    <row r="2" spans="1:7" outlineLevel="2" x14ac:dyDescent="0.3">
      <c r="A2" s="10"/>
      <c r="B2" s="11"/>
      <c r="C2" s="12"/>
      <c r="D2" s="12"/>
      <c r="E2" s="10"/>
      <c r="F2" s="10"/>
      <c r="G2" s="13"/>
    </row>
    <row r="3" spans="1:7" outlineLevel="2" x14ac:dyDescent="0.3">
      <c r="A3" s="10"/>
      <c r="B3" s="11"/>
      <c r="C3" s="12"/>
      <c r="D3" s="12"/>
      <c r="E3" s="10"/>
      <c r="F3" s="10"/>
      <c r="G3" s="13"/>
    </row>
    <row r="4" spans="1:7" outlineLevel="2" x14ac:dyDescent="0.3">
      <c r="A4" s="10"/>
      <c r="B4" s="11"/>
      <c r="C4" s="12"/>
      <c r="D4" s="12"/>
      <c r="E4" s="10"/>
      <c r="F4" s="10"/>
      <c r="G4" s="13"/>
    </row>
    <row r="5" spans="1:7" outlineLevel="2" x14ac:dyDescent="0.3">
      <c r="A5" s="10"/>
      <c r="B5" s="11"/>
      <c r="C5" s="12"/>
      <c r="D5" s="12"/>
      <c r="E5" s="10"/>
      <c r="F5" s="10"/>
      <c r="G5" s="13"/>
    </row>
    <row r="6" spans="1:7" outlineLevel="1" x14ac:dyDescent="0.3">
      <c r="A6" s="10"/>
      <c r="B6" s="11"/>
      <c r="C6" s="17"/>
      <c r="D6" s="12"/>
      <c r="E6" s="10"/>
      <c r="F6" s="10"/>
      <c r="G6" s="13"/>
    </row>
    <row r="7" spans="1:7" outlineLevel="2" x14ac:dyDescent="0.3">
      <c r="A7" s="10"/>
      <c r="B7" s="11"/>
      <c r="C7" s="12"/>
      <c r="D7" s="12"/>
      <c r="E7" s="10"/>
      <c r="F7" s="10"/>
      <c r="G7" s="13"/>
    </row>
    <row r="8" spans="1:7" outlineLevel="2" x14ac:dyDescent="0.3">
      <c r="A8" s="10"/>
      <c r="B8" s="11"/>
      <c r="C8" s="12"/>
      <c r="D8" s="12"/>
      <c r="E8" s="10"/>
      <c r="F8" s="10"/>
      <c r="G8" s="13"/>
    </row>
    <row r="9" spans="1:7" outlineLevel="1" x14ac:dyDescent="0.3">
      <c r="A9" s="10"/>
      <c r="B9" s="11"/>
      <c r="C9" s="17"/>
      <c r="D9" s="12"/>
      <c r="E9" s="10"/>
      <c r="F9" s="10"/>
      <c r="G9" s="13"/>
    </row>
    <row r="10" spans="1:7" outlineLevel="2" x14ac:dyDescent="0.3">
      <c r="A10" s="10"/>
      <c r="B10" s="11"/>
      <c r="C10" s="12"/>
      <c r="D10" s="12"/>
      <c r="E10" s="10"/>
      <c r="F10" s="10"/>
      <c r="G10" s="13"/>
    </row>
    <row r="11" spans="1:7" outlineLevel="2" x14ac:dyDescent="0.3">
      <c r="A11" s="10"/>
      <c r="B11" s="11"/>
      <c r="C11" s="12"/>
      <c r="D11" s="12"/>
      <c r="E11" s="10"/>
      <c r="F11" s="10"/>
      <c r="G11" s="13"/>
    </row>
    <row r="12" spans="1:7" outlineLevel="1" x14ac:dyDescent="0.3">
      <c r="A12" s="10"/>
      <c r="B12" s="11"/>
      <c r="C12" s="17"/>
      <c r="D12" s="12"/>
      <c r="E12" s="10"/>
      <c r="F12" s="10"/>
      <c r="G12" s="13"/>
    </row>
    <row r="13" spans="1:7" outlineLevel="2" x14ac:dyDescent="0.3">
      <c r="A13" s="10"/>
      <c r="B13" s="11"/>
      <c r="C13" s="12"/>
      <c r="D13" s="12"/>
      <c r="E13" s="10"/>
      <c r="F13" s="10"/>
      <c r="G13" s="13"/>
    </row>
    <row r="14" spans="1:7" outlineLevel="2" x14ac:dyDescent="0.3">
      <c r="A14" s="10"/>
      <c r="B14" s="11"/>
      <c r="C14" s="12"/>
      <c r="D14" s="12"/>
      <c r="E14" s="10"/>
      <c r="F14" s="10"/>
      <c r="G14" s="13"/>
    </row>
    <row r="15" spans="1:7" outlineLevel="1" x14ac:dyDescent="0.3">
      <c r="A15" s="10"/>
      <c r="B15" s="11"/>
      <c r="C15" s="17"/>
      <c r="D15" s="12"/>
      <c r="E15" s="10"/>
      <c r="F15" s="10"/>
      <c r="G15" s="13"/>
    </row>
    <row r="16" spans="1:7" outlineLevel="2" x14ac:dyDescent="0.3">
      <c r="A16" s="10"/>
      <c r="B16" s="11"/>
      <c r="C16" s="12"/>
      <c r="D16" s="12"/>
      <c r="E16" s="10"/>
      <c r="F16" s="10"/>
      <c r="G16" s="13"/>
    </row>
    <row r="17" spans="1:7" outlineLevel="2" x14ac:dyDescent="0.3">
      <c r="A17" s="10"/>
      <c r="B17" s="11"/>
      <c r="C17" s="12"/>
      <c r="D17" s="12"/>
      <c r="E17" s="10"/>
      <c r="F17" s="10"/>
      <c r="G17" s="13"/>
    </row>
    <row r="18" spans="1:7" outlineLevel="1" x14ac:dyDescent="0.3">
      <c r="A18" s="10"/>
      <c r="B18" s="11"/>
      <c r="C18" s="17"/>
      <c r="D18" s="12"/>
      <c r="E18" s="10"/>
      <c r="F18" s="10"/>
      <c r="G18" s="13"/>
    </row>
    <row r="19" spans="1:7" outlineLevel="2" x14ac:dyDescent="0.3">
      <c r="A19" s="10"/>
      <c r="B19" s="11"/>
      <c r="C19" s="12"/>
      <c r="D19" s="12"/>
      <c r="E19" s="10"/>
      <c r="F19" s="10"/>
      <c r="G19" s="13"/>
    </row>
    <row r="20" spans="1:7" outlineLevel="2" x14ac:dyDescent="0.3">
      <c r="A20" s="10"/>
      <c r="B20" s="11"/>
      <c r="C20" s="12"/>
      <c r="D20" s="12"/>
      <c r="E20" s="10"/>
      <c r="F20" s="10"/>
      <c r="G20" s="13"/>
    </row>
    <row r="21" spans="1:7" outlineLevel="1" x14ac:dyDescent="0.3">
      <c r="A21" s="10"/>
      <c r="B21" s="11"/>
      <c r="C21" s="17"/>
      <c r="D21" s="12"/>
      <c r="E21" s="10"/>
      <c r="F21" s="10"/>
      <c r="G21" s="13"/>
    </row>
    <row r="22" spans="1:7" outlineLevel="2" x14ac:dyDescent="0.3">
      <c r="A22" s="10"/>
      <c r="B22" s="11"/>
      <c r="C22" s="12"/>
      <c r="D22" s="12"/>
      <c r="E22" s="10"/>
      <c r="F22" s="10"/>
      <c r="G22" s="13"/>
    </row>
    <row r="23" spans="1:7" outlineLevel="2" x14ac:dyDescent="0.3">
      <c r="A23" s="10"/>
      <c r="B23" s="11"/>
      <c r="C23" s="12"/>
      <c r="D23" s="12"/>
      <c r="E23" s="10"/>
      <c r="F23" s="10"/>
      <c r="G23" s="13"/>
    </row>
    <row r="24" spans="1:7" outlineLevel="1" x14ac:dyDescent="0.3">
      <c r="A24" s="10"/>
      <c r="B24" s="11"/>
      <c r="C24" s="17"/>
      <c r="D24" s="12"/>
      <c r="E24" s="10"/>
      <c r="F24" s="10"/>
      <c r="G24" s="13"/>
    </row>
    <row r="25" spans="1:7" outlineLevel="2" x14ac:dyDescent="0.3">
      <c r="A25" s="10"/>
      <c r="B25" s="11"/>
      <c r="C25" s="12"/>
      <c r="D25" s="12"/>
      <c r="E25" s="10"/>
      <c r="F25" s="10"/>
      <c r="G25" s="13"/>
    </row>
    <row r="26" spans="1:7" outlineLevel="2" x14ac:dyDescent="0.3">
      <c r="A26" s="10"/>
      <c r="B26" s="11"/>
      <c r="C26" s="12"/>
      <c r="D26" s="12"/>
      <c r="E26" s="10"/>
      <c r="F26" s="10"/>
      <c r="G26" s="13"/>
    </row>
    <row r="27" spans="1:7" outlineLevel="1" x14ac:dyDescent="0.3">
      <c r="A27" s="10"/>
      <c r="B27" s="11"/>
      <c r="C27" s="17"/>
      <c r="D27" s="12"/>
      <c r="E27" s="10"/>
      <c r="F27" s="10"/>
      <c r="G27" s="13"/>
    </row>
    <row r="28" spans="1:7" outlineLevel="2" x14ac:dyDescent="0.3">
      <c r="A28" s="10"/>
      <c r="B28" s="11"/>
      <c r="C28" s="12"/>
      <c r="D28" s="12"/>
      <c r="E28" s="10"/>
      <c r="F28" s="10"/>
      <c r="G28" s="13"/>
    </row>
    <row r="29" spans="1:7" outlineLevel="2" x14ac:dyDescent="0.3">
      <c r="A29" s="10"/>
      <c r="B29" s="11"/>
      <c r="C29" s="12"/>
      <c r="D29" s="12"/>
      <c r="E29" s="10"/>
      <c r="F29" s="10"/>
      <c r="G29" s="13"/>
    </row>
    <row r="30" spans="1:7" outlineLevel="1" x14ac:dyDescent="0.3">
      <c r="A30" s="10"/>
      <c r="B30" s="11"/>
      <c r="C30" s="17"/>
      <c r="D30" s="12"/>
      <c r="E30" s="10"/>
      <c r="F30" s="10"/>
      <c r="G30" s="13"/>
    </row>
    <row r="31" spans="1:7" outlineLevel="2" x14ac:dyDescent="0.3">
      <c r="A31" s="10"/>
      <c r="B31" s="11"/>
      <c r="C31" s="12"/>
      <c r="D31" s="12"/>
      <c r="E31" s="10"/>
      <c r="F31" s="10"/>
      <c r="G31" s="13"/>
    </row>
    <row r="32" spans="1:7" outlineLevel="2" x14ac:dyDescent="0.3">
      <c r="A32" s="10"/>
      <c r="B32" s="11"/>
      <c r="C32" s="12"/>
      <c r="D32" s="12"/>
      <c r="E32" s="10"/>
      <c r="F32" s="10"/>
      <c r="G32" s="13"/>
    </row>
    <row r="33" spans="1:7" outlineLevel="1" x14ac:dyDescent="0.3">
      <c r="A33" s="10"/>
      <c r="B33" s="11"/>
      <c r="C33" s="17"/>
      <c r="D33" s="12"/>
      <c r="E33" s="10"/>
      <c r="F33" s="10"/>
      <c r="G33" s="13"/>
    </row>
    <row r="34" spans="1:7" outlineLevel="2" x14ac:dyDescent="0.3">
      <c r="A34" s="10"/>
      <c r="B34" s="11"/>
      <c r="C34" s="12"/>
      <c r="D34" s="12"/>
      <c r="E34" s="10"/>
      <c r="F34" s="10"/>
      <c r="G34" s="13"/>
    </row>
    <row r="35" spans="1:7" outlineLevel="2" x14ac:dyDescent="0.3">
      <c r="A35" s="10"/>
      <c r="B35" s="11"/>
      <c r="C35" s="12"/>
      <c r="D35" s="12"/>
      <c r="E35" s="10"/>
      <c r="F35" s="10"/>
      <c r="G35" s="13"/>
    </row>
    <row r="36" spans="1:7" outlineLevel="1" x14ac:dyDescent="0.3">
      <c r="A36" s="10"/>
      <c r="B36" s="11"/>
      <c r="C36" s="17"/>
      <c r="D36" s="12"/>
      <c r="E36" s="10"/>
      <c r="F36" s="10"/>
      <c r="G36" s="13"/>
    </row>
    <row r="37" spans="1:7" outlineLevel="2" x14ac:dyDescent="0.3">
      <c r="A37" s="10"/>
      <c r="B37" s="11"/>
      <c r="C37" s="12"/>
      <c r="D37" s="12"/>
      <c r="E37" s="10"/>
      <c r="F37" s="10"/>
      <c r="G37" s="13"/>
    </row>
    <row r="38" spans="1:7" outlineLevel="2" x14ac:dyDescent="0.3">
      <c r="A38" s="10"/>
      <c r="B38" s="11"/>
      <c r="C38" s="12"/>
      <c r="D38" s="12"/>
      <c r="E38" s="10"/>
      <c r="F38" s="10"/>
      <c r="G38" s="13"/>
    </row>
    <row r="39" spans="1:7" outlineLevel="1" x14ac:dyDescent="0.3">
      <c r="A39" s="10"/>
      <c r="B39" s="11"/>
      <c r="C39" s="17"/>
      <c r="D39" s="12"/>
      <c r="E39" s="10"/>
      <c r="F39" s="10"/>
      <c r="G39" s="13"/>
    </row>
    <row r="40" spans="1:7" outlineLevel="2" x14ac:dyDescent="0.3">
      <c r="A40" s="10"/>
      <c r="B40" s="11"/>
      <c r="C40" s="12"/>
      <c r="D40" s="12"/>
      <c r="E40" s="10"/>
      <c r="F40" s="10"/>
      <c r="G40" s="13"/>
    </row>
    <row r="41" spans="1:7" outlineLevel="2" x14ac:dyDescent="0.3">
      <c r="A41" s="10"/>
      <c r="B41" s="11"/>
      <c r="C41" s="12"/>
      <c r="D41" s="12"/>
      <c r="E41" s="10"/>
      <c r="F41" s="10"/>
      <c r="G41" s="13"/>
    </row>
    <row r="42" spans="1:7" outlineLevel="1" x14ac:dyDescent="0.3">
      <c r="A42" s="10"/>
      <c r="B42" s="11"/>
      <c r="C42" s="17"/>
      <c r="D42" s="12"/>
      <c r="E42" s="10"/>
      <c r="F42" s="10"/>
      <c r="G42" s="13"/>
    </row>
    <row r="43" spans="1:7" outlineLevel="2" x14ac:dyDescent="0.3">
      <c r="A43" s="10"/>
      <c r="B43" s="11"/>
      <c r="C43" s="12"/>
      <c r="D43" s="12"/>
      <c r="E43" s="10"/>
      <c r="F43" s="10"/>
      <c r="G43" s="13"/>
    </row>
    <row r="44" spans="1:7" outlineLevel="2" x14ac:dyDescent="0.3">
      <c r="A44" s="10"/>
      <c r="B44" s="11"/>
      <c r="C44" s="12"/>
      <c r="D44" s="12"/>
      <c r="E44" s="10"/>
      <c r="F44" s="10"/>
      <c r="G44" s="13"/>
    </row>
    <row r="45" spans="1:7" outlineLevel="1" x14ac:dyDescent="0.3">
      <c r="A45" s="10"/>
      <c r="B45" s="11"/>
      <c r="C45" s="17"/>
      <c r="D45" s="12"/>
      <c r="E45" s="10"/>
      <c r="F45" s="10"/>
      <c r="G45" s="13"/>
    </row>
    <row r="46" spans="1:7" outlineLevel="2" x14ac:dyDescent="0.3">
      <c r="A46" s="10"/>
      <c r="B46" s="11"/>
      <c r="C46" s="12"/>
      <c r="D46" s="12"/>
      <c r="E46" s="10"/>
      <c r="F46" s="10"/>
      <c r="G46" s="13"/>
    </row>
    <row r="47" spans="1:7" outlineLevel="1" x14ac:dyDescent="0.3">
      <c r="A47" s="10"/>
      <c r="B47" s="11"/>
      <c r="C47" s="17"/>
      <c r="D47" s="12"/>
      <c r="E47" s="10"/>
      <c r="F47" s="10"/>
      <c r="G47" s="13"/>
    </row>
    <row r="48" spans="1:7" outlineLevel="2" x14ac:dyDescent="0.3">
      <c r="A48" s="10"/>
      <c r="B48" s="11"/>
      <c r="C48" s="12"/>
      <c r="D48" s="12"/>
      <c r="E48" s="10"/>
      <c r="F48" s="10"/>
      <c r="G48" s="13"/>
    </row>
    <row r="49" spans="1:7" outlineLevel="1" x14ac:dyDescent="0.3">
      <c r="A49" s="10"/>
      <c r="B49" s="11"/>
      <c r="C49" s="17"/>
      <c r="D49" s="12"/>
      <c r="E49" s="10"/>
      <c r="F49" s="10"/>
      <c r="G49" s="13"/>
    </row>
    <row r="50" spans="1:7" outlineLevel="2" x14ac:dyDescent="0.3">
      <c r="A50" s="10"/>
      <c r="B50" s="11"/>
      <c r="C50" s="12"/>
      <c r="D50" s="12"/>
      <c r="E50" s="10"/>
      <c r="F50" s="10"/>
      <c r="G50" s="13"/>
    </row>
    <row r="51" spans="1:7" outlineLevel="1" x14ac:dyDescent="0.3">
      <c r="A51" s="10"/>
      <c r="B51" s="11"/>
      <c r="C51" s="17"/>
      <c r="D51" s="12"/>
      <c r="E51" s="10"/>
      <c r="F51" s="10"/>
      <c r="G51" s="13"/>
    </row>
    <row r="52" spans="1:7" outlineLevel="2" x14ac:dyDescent="0.3">
      <c r="A52" s="10"/>
      <c r="B52" s="11"/>
      <c r="C52" s="12"/>
      <c r="D52" s="12"/>
      <c r="E52" s="10"/>
      <c r="F52" s="10"/>
      <c r="G52" s="13"/>
    </row>
    <row r="53" spans="1:7" outlineLevel="1" x14ac:dyDescent="0.3">
      <c r="A53" s="10"/>
      <c r="B53" s="11"/>
      <c r="C53" s="17"/>
      <c r="D53" s="12"/>
      <c r="E53" s="10"/>
      <c r="F53" s="10"/>
      <c r="G53" s="13"/>
    </row>
    <row r="54" spans="1:7" outlineLevel="2" x14ac:dyDescent="0.3">
      <c r="A54" s="10"/>
      <c r="B54" s="11"/>
      <c r="C54" s="12"/>
      <c r="D54" s="12"/>
      <c r="E54" s="10"/>
      <c r="F54" s="10"/>
      <c r="G54" s="13"/>
    </row>
    <row r="55" spans="1:7" outlineLevel="1" x14ac:dyDescent="0.3">
      <c r="A55" s="10"/>
      <c r="B55" s="11"/>
      <c r="C55" s="17"/>
      <c r="D55" s="12"/>
      <c r="E55" s="10"/>
      <c r="F55" s="10"/>
      <c r="G55" s="13"/>
    </row>
    <row r="56" spans="1:7" outlineLevel="2" x14ac:dyDescent="0.3">
      <c r="A56" s="10"/>
      <c r="B56" s="11"/>
      <c r="C56" s="12"/>
      <c r="D56" s="12"/>
      <c r="E56" s="10"/>
      <c r="F56" s="10"/>
      <c r="G56" s="13"/>
    </row>
    <row r="57" spans="1:7" outlineLevel="1" x14ac:dyDescent="0.3">
      <c r="A57" s="10"/>
      <c r="B57" s="11"/>
      <c r="C57" s="17"/>
      <c r="D57" s="12"/>
      <c r="E57" s="10"/>
      <c r="F57" s="10"/>
      <c r="G57" s="13"/>
    </row>
    <row r="58" spans="1:7" outlineLevel="2" x14ac:dyDescent="0.3">
      <c r="A58" s="10"/>
      <c r="B58" s="11"/>
      <c r="C58" s="12"/>
      <c r="D58" s="12"/>
      <c r="E58" s="10"/>
      <c r="F58" s="10"/>
      <c r="G58" s="13"/>
    </row>
    <row r="59" spans="1:7" outlineLevel="1" x14ac:dyDescent="0.3">
      <c r="A59" s="10"/>
      <c r="B59" s="11"/>
      <c r="C59" s="17"/>
      <c r="D59" s="12"/>
      <c r="E59" s="10"/>
      <c r="F59" s="10"/>
      <c r="G59" s="13"/>
    </row>
    <row r="60" spans="1:7" outlineLevel="2" x14ac:dyDescent="0.3">
      <c r="A60" s="10"/>
      <c r="B60" s="11"/>
      <c r="C60" s="12"/>
      <c r="D60" s="12"/>
      <c r="E60" s="10"/>
      <c r="F60" s="10"/>
      <c r="G60" s="13"/>
    </row>
    <row r="61" spans="1:7" outlineLevel="1" x14ac:dyDescent="0.3">
      <c r="A61" s="10"/>
      <c r="B61" s="11"/>
      <c r="C61" s="17"/>
      <c r="D61" s="12"/>
      <c r="E61" s="10"/>
      <c r="F61" s="10"/>
      <c r="G61" s="13"/>
    </row>
    <row r="62" spans="1:7" outlineLevel="2" x14ac:dyDescent="0.3">
      <c r="A62" s="10"/>
      <c r="B62" s="11"/>
      <c r="C62" s="12"/>
      <c r="D62" s="12"/>
      <c r="E62" s="10"/>
      <c r="F62" s="10"/>
      <c r="G62" s="13"/>
    </row>
    <row r="63" spans="1:7" outlineLevel="1" x14ac:dyDescent="0.3">
      <c r="A63" s="10"/>
      <c r="B63" s="11"/>
      <c r="C63" s="17"/>
      <c r="D63" s="12"/>
      <c r="E63" s="10"/>
      <c r="F63" s="10"/>
      <c r="G63" s="13"/>
    </row>
    <row r="64" spans="1:7" outlineLevel="2" x14ac:dyDescent="0.3">
      <c r="A64" s="10"/>
      <c r="B64" s="11"/>
      <c r="C64" s="12"/>
      <c r="D64" s="12"/>
      <c r="E64" s="10"/>
      <c r="F64" s="10"/>
      <c r="G64" s="13"/>
    </row>
    <row r="65" spans="1:7" outlineLevel="1" x14ac:dyDescent="0.3">
      <c r="A65" s="10"/>
      <c r="B65" s="11"/>
      <c r="C65" s="17"/>
      <c r="D65" s="12"/>
      <c r="E65" s="10"/>
      <c r="F65" s="10"/>
      <c r="G65" s="13"/>
    </row>
    <row r="66" spans="1:7" outlineLevel="2" x14ac:dyDescent="0.3">
      <c r="A66" s="10"/>
      <c r="B66" s="11"/>
      <c r="C66" s="12"/>
      <c r="D66" s="12"/>
      <c r="E66" s="10"/>
      <c r="F66" s="10"/>
      <c r="G66" s="13"/>
    </row>
    <row r="67" spans="1:7" outlineLevel="1" x14ac:dyDescent="0.3">
      <c r="A67" s="10"/>
      <c r="B67" s="11"/>
      <c r="C67" s="17"/>
      <c r="D67" s="12"/>
      <c r="E67" s="10"/>
      <c r="F67" s="10"/>
      <c r="G67" s="13"/>
    </row>
    <row r="68" spans="1:7" outlineLevel="2" x14ac:dyDescent="0.3">
      <c r="A68" s="10"/>
      <c r="B68" s="11"/>
      <c r="C68" s="12"/>
      <c r="D68" s="12"/>
      <c r="E68" s="10"/>
      <c r="F68" s="10"/>
      <c r="G68" s="13"/>
    </row>
    <row r="69" spans="1:7" outlineLevel="1" x14ac:dyDescent="0.3">
      <c r="A69" s="10"/>
      <c r="B69" s="11"/>
      <c r="C69" s="17"/>
      <c r="D69" s="12"/>
      <c r="E69" s="10"/>
      <c r="F69" s="10"/>
      <c r="G69" s="13"/>
    </row>
    <row r="70" spans="1:7" outlineLevel="2" x14ac:dyDescent="0.3">
      <c r="A70" s="10"/>
      <c r="B70" s="11"/>
      <c r="C70" s="12"/>
      <c r="D70" s="12"/>
      <c r="E70" s="10"/>
      <c r="F70" s="10"/>
      <c r="G70" s="13"/>
    </row>
    <row r="71" spans="1:7" outlineLevel="1" x14ac:dyDescent="0.3">
      <c r="A71" s="10"/>
      <c r="B71" s="11"/>
      <c r="C71" s="17"/>
      <c r="D71" s="12"/>
      <c r="E71" s="10"/>
      <c r="F71" s="10"/>
      <c r="G71" s="13"/>
    </row>
    <row r="72" spans="1:7" outlineLevel="2" x14ac:dyDescent="0.3">
      <c r="A72" s="10"/>
      <c r="B72" s="11"/>
      <c r="C72" s="12"/>
      <c r="D72" s="12"/>
      <c r="E72" s="10"/>
      <c r="F72" s="10"/>
      <c r="G72" s="13"/>
    </row>
    <row r="73" spans="1:7" outlineLevel="1" x14ac:dyDescent="0.3">
      <c r="A73" s="10"/>
      <c r="B73" s="11"/>
      <c r="C73" s="17"/>
      <c r="D73" s="12"/>
      <c r="E73" s="10"/>
      <c r="F73" s="10"/>
      <c r="G73" s="13"/>
    </row>
    <row r="74" spans="1:7" outlineLevel="2" x14ac:dyDescent="0.3">
      <c r="A74" s="10"/>
      <c r="B74" s="11"/>
      <c r="C74" s="12"/>
      <c r="D74" s="12"/>
      <c r="E74" s="10"/>
      <c r="F74" s="10"/>
      <c r="G74" s="13"/>
    </row>
    <row r="75" spans="1:7" outlineLevel="1" x14ac:dyDescent="0.3">
      <c r="A75" s="10"/>
      <c r="B75" s="11"/>
      <c r="C75" s="17"/>
      <c r="D75" s="12"/>
      <c r="E75" s="10"/>
      <c r="F75" s="10"/>
      <c r="G75" s="13"/>
    </row>
    <row r="76" spans="1:7" outlineLevel="2" x14ac:dyDescent="0.3">
      <c r="A76" s="10"/>
      <c r="B76" s="11"/>
      <c r="C76" s="12"/>
      <c r="D76" s="12"/>
      <c r="E76" s="10"/>
      <c r="F76" s="10"/>
      <c r="G76" s="13"/>
    </row>
    <row r="77" spans="1:7" outlineLevel="1" x14ac:dyDescent="0.3">
      <c r="A77" s="10"/>
      <c r="B77" s="11"/>
      <c r="C77" s="17"/>
      <c r="D77" s="12"/>
      <c r="E77" s="10"/>
      <c r="F77" s="10"/>
      <c r="G77" s="13"/>
    </row>
    <row r="78" spans="1:7" outlineLevel="2" x14ac:dyDescent="0.3">
      <c r="A78" s="10"/>
      <c r="B78" s="11"/>
      <c r="C78" s="12"/>
      <c r="D78" s="12"/>
      <c r="E78" s="10"/>
      <c r="F78" s="10"/>
      <c r="G78" s="13"/>
    </row>
    <row r="79" spans="1:7" outlineLevel="1" x14ac:dyDescent="0.3">
      <c r="A79" s="10"/>
      <c r="B79" s="11"/>
      <c r="C79" s="17"/>
      <c r="D79" s="12"/>
      <c r="E79" s="10"/>
      <c r="F79" s="10"/>
      <c r="G79" s="13"/>
    </row>
    <row r="80" spans="1:7" outlineLevel="2" x14ac:dyDescent="0.3">
      <c r="A80" s="10"/>
      <c r="B80" s="11"/>
      <c r="C80" s="12"/>
      <c r="D80" s="12"/>
      <c r="E80" s="10"/>
      <c r="F80" s="10"/>
      <c r="G80" s="13"/>
    </row>
    <row r="81" spans="1:7" outlineLevel="1" x14ac:dyDescent="0.3">
      <c r="A81" s="10"/>
      <c r="B81" s="11"/>
      <c r="C81" s="17"/>
      <c r="D81" s="12"/>
      <c r="E81" s="10"/>
      <c r="F81" s="10"/>
      <c r="G81" s="13"/>
    </row>
    <row r="82" spans="1:7" outlineLevel="2" x14ac:dyDescent="0.3">
      <c r="A82" s="10"/>
      <c r="B82" s="11"/>
      <c r="C82" s="12"/>
      <c r="D82" s="12"/>
      <c r="E82" s="10"/>
      <c r="F82" s="10"/>
      <c r="G82" s="13"/>
    </row>
    <row r="83" spans="1:7" outlineLevel="1" x14ac:dyDescent="0.3">
      <c r="A83" s="10"/>
      <c r="B83" s="11"/>
      <c r="C83" s="17"/>
      <c r="D83" s="12"/>
      <c r="E83" s="10"/>
      <c r="F83" s="10"/>
      <c r="G83" s="13"/>
    </row>
    <row r="84" spans="1:7" outlineLevel="2" x14ac:dyDescent="0.3">
      <c r="A84" s="14"/>
      <c r="B84" s="15"/>
      <c r="C84" s="16"/>
      <c r="D84" s="16"/>
      <c r="E84" s="14"/>
      <c r="F84" s="14"/>
      <c r="G84" s="13"/>
    </row>
    <row r="85" spans="1:7" outlineLevel="1" x14ac:dyDescent="0.3">
      <c r="A85" s="1"/>
      <c r="B85" s="2"/>
      <c r="C85" s="19"/>
      <c r="D85" s="3"/>
      <c r="E85" s="1"/>
      <c r="F85" s="1"/>
      <c r="G85" s="13"/>
    </row>
    <row r="86" spans="1:7" x14ac:dyDescent="0.3">
      <c r="A86" s="1"/>
      <c r="B86" s="2"/>
      <c r="C86" s="19"/>
      <c r="D86" s="3"/>
      <c r="E86" s="1"/>
      <c r="F86" s="1"/>
      <c r="G86" s="4"/>
    </row>
    <row r="87" spans="1:7" x14ac:dyDescent="0.3">
      <c r="G87" s="18"/>
    </row>
  </sheetData>
  <sortState ref="A2:G84">
    <sortCondition ref="D2:D8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705A-0B50-4125-B0F4-79F2E501AE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78D70D-1867-4F6D-8598-B4F4CC6BD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Лист3</vt:lpstr>
      <vt:lpstr>Лист6</vt:lpstr>
      <vt:lpstr>Лист5</vt:lpstr>
      <vt:lpstr>Лист4</vt:lpstr>
      <vt:lpstr>Лист2</vt:lpstr>
      <vt:lpstr>Лист1</vt:lpstr>
      <vt:lpstr>Лист6!data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2026-02-25T19:28:05Z</dcterms:created>
  <dcterms:modified xsi:type="dcterms:W3CDTF">2026-05-22T21:31:26Z</dcterms:modified>
</cp:coreProperties>
</file>